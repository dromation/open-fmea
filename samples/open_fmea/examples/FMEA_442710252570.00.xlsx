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625"/>
  <workbookPr defaultThemeVersion="166925"/>
  <mc:AlternateContent xmlns:mc="http://schemas.openxmlformats.org/markup-compatibility/2006">
    <mc:Choice Requires="x15">
      <x15ac:absPath xmlns:x15ac="http://schemas.microsoft.com/office/spreadsheetml/2010/11/ac" url="C:\JanezJurancic\HOBOTNICA\KUPCI\PHILIPS\Philips POL\Spigot DT62 BGP760\PPAP_442710252570\Attachments\"/>
    </mc:Choice>
  </mc:AlternateContent>
  <bookViews>
    <workbookView xWindow="0" yWindow="0" windowWidth="19200" windowHeight="11835"/>
  </bookViews>
  <sheets>
    <sheet name="PFMEA" sheetId="1" r:id="rId1"/>
  </sheets>
  <externalReferences>
    <externalReference r:id="rId2"/>
    <externalReference r:id="rId3"/>
  </externalReferences>
  <definedNames>
    <definedName name="Aone">OFFSET([1]Calculations!$AF$74,0,0,SUM([1]Calculations!$X$13:$X$13))</definedName>
    <definedName name="Athree">OFFSET([1]Calculations!$AH$74,0,0,SUM([1]Calculations!$X$13:$X$13))</definedName>
    <definedName name="Atwo">OFFSET([1]Calculations!$AG$74,0,0,SUM([1]Calculations!$X$13:$X$13))</definedName>
    <definedName name="AvgTen">OFFSET([1]Calculations!$AO$74,0,0,SUM([1]Calculations!$X$13:$X$13))</definedName>
    <definedName name="Bone">OFFSET([1]Calculations!$AI$74,0,0,SUM([1]Calculations!$X$13:$X$13))</definedName>
    <definedName name="Bthree">OFFSET([1]Calculations!$AK$74,0,0,SUM([1]Calculations!$X$13:$X$13))</definedName>
    <definedName name="Btwo">OFFSET([1]Calculations!$AJ$74,0,0,SUM([1]Calculations!$X$13:$X$13))</definedName>
    <definedName name="Cone">OFFSET([1]Calculations!$AL$74,0,0,SUM([1]Calculations!$X$13:$X$13))</definedName>
    <definedName name="Cthree">OFFSET([1]Calculations!$AN$74,0,0,SUM([1]Calculations!$X$13:$X$13))</definedName>
    <definedName name="Ctwo">OFFSET([1]Calculations!$AM$74,0,0,SUM([1]Calculations!$X$13:$X$13))</definedName>
    <definedName name="eight">OFFSET([1]Calculations!$AZ$72,0,0,SUM([1]Calculations!$X$12))</definedName>
    <definedName name="eighteen">OFFSET([1]Calculations!$BJ$72,0,0,SUM([1]Calculations!$X$12))</definedName>
    <definedName name="eleven">OFFSET([1]Calculations!$BC$72,0,0,SUM([1]Calculations!$X$12))</definedName>
    <definedName name="fifteen">OFFSET([1]Calculations!$BG$72,0,0,SUM([1]Calculations!$X$12))</definedName>
    <definedName name="five">OFFSET([1]Calculations!$AW$72,0,0,SUM([1]Calculations!$X$12))</definedName>
    <definedName name="four">OFFSET([1]Calculations!$AV$72,0,0,SUM([1]Calculations!$X$12))</definedName>
    <definedName name="fourteen">OFFSET([1]Calculations!$BF$72,0,0,SUM([1]Calculations!$X$12))</definedName>
    <definedName name="LCLx">OFFSET([1]Calculations!$Y$108,0,0,SUM([1]Calculations!$AC$111:$AC$111))</definedName>
    <definedName name="nine">OFFSET([1]Calculations!$BA$72,0,0,SUM([1]Calculations!$X$12))</definedName>
    <definedName name="nineteen">OFFSET([1]Calculations!$BK$72,0,0,SUM([1]Calculations!$X$12))</definedName>
    <definedName name="one">OFFSET([1]Calculations!$AS$72,0,0,SUM([1]Calculations!$X$12))</definedName>
    <definedName name="OpA">OFFSET([1]Calculations!$AO$84,0,0,SUM([1]Calculations!$X$13:$X$13))</definedName>
    <definedName name="OpB">OFFSET([1]Calculations!$AP$84,0,0,SUM([1]Calculations!$X$13:$X$13))</definedName>
    <definedName name="OpC">OFFSET([1]Calculations!$AQ$84,0,0,SUM([1]Calculations!$X$13:$X$13))</definedName>
    <definedName name="OperatorA">OFFSET([1]Calculations!$O$108,0,0,SUM([1]Calculations!$AC$111:$AC$111))</definedName>
    <definedName name="OperatorA_R">OFFSET([1]Calculations!$R$108,0,0,SUM([1]Calculations!$AC$111:$AC$111))</definedName>
    <definedName name="OperatorB">OFFSET([1]Calculations!$P$108,0,0,SUM([1]Calculations!$AC$111:$AC$111))</definedName>
    <definedName name="OperatorB_R">OFFSET([1]Calculations!$S$108,0,0,SUM([1]Calculations!$AC$111:$AC$111))</definedName>
    <definedName name="OperatorC">OFFSET([1]Calculations!$Q$108,0,0,SUM([1]Calculations!$AC$111:$AC$111))</definedName>
    <definedName name="OperatorC_R">OFFSET([1]Calculations!$T$108,0,0,SUM([1]Calculations!$AC$111:$AC$111))</definedName>
    <definedName name="_xlnm.Print_Area" localSheetId="0">PFMEA!$A$1:$T$104</definedName>
    <definedName name="Rbar">OFFSET([1]Calculations!$W$108,0,0,SUM([1]Calculations!$AC$111:$AC$111))</definedName>
    <definedName name="seven">OFFSET([1]Calculations!$AY$72,0,0,SUM([1]Calculations!$X$12))</definedName>
    <definedName name="seventeen">OFFSET([1]Calculations!$BI$72,0,0,SUM([1]Calculations!$X$12))</definedName>
    <definedName name="six">OFFSET([1]Calculations!$AX$72,0,0,SUM([1]Calculations!$X$12))</definedName>
    <definedName name="sixteen">OFFSET([1]Calculations!$BH$72,0,0,SUM([1]Calculations!$X$12))</definedName>
    <definedName name="Sname">#REF!</definedName>
    <definedName name="target">[2]!target</definedName>
    <definedName name="targets">[2]!targets</definedName>
    <definedName name="ten">OFFSET([1]Calculations!$BB$72,0,0,SUM([1]Calculations!$X$12))</definedName>
    <definedName name="thirteen">OFFSET([1]Calculations!$BE$72,0,0,SUM([1]Calculations!$X$12))</definedName>
    <definedName name="thirty">OFFSET([1]Calculations!$BV$72,0,0,SUM([1]Calculations!$X$12))</definedName>
    <definedName name="thirtyone">OFFSET([1]Calculations!$BW$72,0,0,SUM([1]Calculations!$X$12))</definedName>
    <definedName name="three">OFFSET([1]Calculations!$AU$72,0,0,SUM([1]Calculations!$X$12))</definedName>
    <definedName name="twelve">OFFSET([1]Calculations!$BD$72,0,0,SUM([1]Calculations!$X$12))</definedName>
    <definedName name="twenty">OFFSET([1]Calculations!$BL$72,0,0,SUM([1]Calculations!$X$12))</definedName>
    <definedName name="twentyeight">OFFSET([1]Calculations!$BT$72,0,0,SUM([1]Calculations!$X$12))</definedName>
    <definedName name="twentyfive">OFFSET([1]Calculations!$BQ$72,0,0,SUM([1]Calculations!$X$12))</definedName>
    <definedName name="twentyfour">OFFSET([1]Calculations!$BP$72,0,0,SUM([1]Calculations!$X$12))</definedName>
    <definedName name="twentynine">OFFSET([1]Calculations!$BU$72,0,0,SUM([1]Calculations!$X$12))</definedName>
    <definedName name="twentyone">OFFSET([1]Calculations!$BM$72,0,0,SUM([1]Calculations!$X$12))</definedName>
    <definedName name="twentyseven">OFFSET([1]Calculations!$BS$72,0,0,SUM([1]Calculations!$X$12))</definedName>
    <definedName name="twentysix">OFFSET([1]Calculations!$BR$72,0,0,SUM([1]Calculations!$X$12))</definedName>
    <definedName name="twentythree">OFFSET([1]Calculations!$BO$72,0,0,SUM([1]Calculations!$X$12))</definedName>
    <definedName name="twentytwo">OFFSET([1]Calculations!$BN$72,0,0,SUM([1]Calculations!$X$12))</definedName>
    <definedName name="two">OFFSET([1]Calculations!$AT$72,0,0,SUM([1]Calculations!$X$12))</definedName>
    <definedName name="UCLr">OFFSET([1]Calculations!$Z$108,0,0,SUM([1]Calculations!$AC$111:$AC$111))</definedName>
    <definedName name="UCLx">OFFSET([1]Calculations!$X$108,0,0,SUM([1]Calculations!$AC$111:$AC$111))</definedName>
    <definedName name="Xaxis">OFFSET([1]Calculations!$N$108,0,0,SUM([1]Calculations!$AC$111:$AC$111))</definedName>
    <definedName name="Xbarbar">OFFSET([1]Calculations!$V$108,0,0,SUM([1]Calculations!$AC$111:$AC$111))</definedName>
    <definedName name="zero">OFFSET([1]Calculations!$AR$72,0,0,SUM([1]Calculations!$X$12))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2" i="1" l="1"/>
  <c r="M22" i="1"/>
  <c r="M23" i="1"/>
  <c r="T23" i="1"/>
  <c r="T104" i="1" l="1"/>
  <c r="M104" i="1"/>
  <c r="T103" i="1"/>
  <c r="M103" i="1"/>
  <c r="T102" i="1"/>
  <c r="M102" i="1"/>
  <c r="T101" i="1"/>
  <c r="M101" i="1"/>
  <c r="T100" i="1"/>
  <c r="M100" i="1"/>
  <c r="T99" i="1"/>
  <c r="M99" i="1"/>
  <c r="T98" i="1"/>
  <c r="M98" i="1"/>
  <c r="T97" i="1"/>
  <c r="M97" i="1"/>
  <c r="T96" i="1"/>
  <c r="M96" i="1"/>
  <c r="T95" i="1"/>
  <c r="M95" i="1"/>
  <c r="T94" i="1"/>
  <c r="M94" i="1"/>
  <c r="T93" i="1"/>
  <c r="M93" i="1"/>
  <c r="T92" i="1"/>
  <c r="M92" i="1"/>
  <c r="T91" i="1"/>
  <c r="M91" i="1"/>
  <c r="T90" i="1"/>
  <c r="M90" i="1"/>
  <c r="T89" i="1"/>
  <c r="M89" i="1"/>
  <c r="T88" i="1"/>
  <c r="M88" i="1"/>
  <c r="T87" i="1"/>
  <c r="M87" i="1"/>
  <c r="T86" i="1"/>
  <c r="M86" i="1"/>
  <c r="T85" i="1"/>
  <c r="M85" i="1"/>
  <c r="T84" i="1"/>
  <c r="M84" i="1"/>
  <c r="T83" i="1"/>
  <c r="M83" i="1"/>
  <c r="T82" i="1"/>
  <c r="M82" i="1"/>
  <c r="T81" i="1"/>
  <c r="M81" i="1"/>
  <c r="T80" i="1"/>
  <c r="M80" i="1"/>
  <c r="T79" i="1"/>
  <c r="M79" i="1"/>
  <c r="T78" i="1"/>
  <c r="M78" i="1"/>
  <c r="T77" i="1"/>
  <c r="M77" i="1"/>
  <c r="T76" i="1"/>
  <c r="M76" i="1"/>
  <c r="T75" i="1"/>
  <c r="M75" i="1"/>
  <c r="T74" i="1"/>
  <c r="M74" i="1"/>
  <c r="T73" i="1"/>
  <c r="M73" i="1"/>
  <c r="T72" i="1"/>
  <c r="M72" i="1"/>
  <c r="T71" i="1"/>
  <c r="M71" i="1"/>
  <c r="T70" i="1"/>
  <c r="M70" i="1"/>
  <c r="T69" i="1"/>
  <c r="M69" i="1"/>
  <c r="T68" i="1"/>
  <c r="M68" i="1"/>
  <c r="T67" i="1"/>
  <c r="M67" i="1"/>
  <c r="T66" i="1"/>
  <c r="M66" i="1"/>
  <c r="T65" i="1"/>
  <c r="M65" i="1"/>
  <c r="T64" i="1"/>
  <c r="M64" i="1"/>
  <c r="T63" i="1"/>
  <c r="M63" i="1"/>
  <c r="T62" i="1"/>
  <c r="M62" i="1"/>
  <c r="T61" i="1"/>
  <c r="M61" i="1"/>
  <c r="T60" i="1"/>
  <c r="M60" i="1"/>
  <c r="T59" i="1"/>
  <c r="M59" i="1"/>
  <c r="T58" i="1"/>
  <c r="M58" i="1"/>
  <c r="T57" i="1"/>
  <c r="M57" i="1"/>
  <c r="T56" i="1"/>
  <c r="M56" i="1"/>
  <c r="T55" i="1"/>
  <c r="M55" i="1"/>
  <c r="T54" i="1"/>
  <c r="M54" i="1"/>
  <c r="T53" i="1"/>
  <c r="M53" i="1"/>
  <c r="T52" i="1"/>
  <c r="M52" i="1"/>
  <c r="T51" i="1"/>
  <c r="M51" i="1"/>
  <c r="T50" i="1"/>
  <c r="M50" i="1"/>
  <c r="T49" i="1"/>
  <c r="M49" i="1"/>
  <c r="T48" i="1"/>
  <c r="M48" i="1"/>
  <c r="T47" i="1"/>
  <c r="M47" i="1"/>
  <c r="T46" i="1"/>
  <c r="M46" i="1"/>
  <c r="T45" i="1"/>
  <c r="M45" i="1"/>
  <c r="T44" i="1"/>
  <c r="M44" i="1"/>
  <c r="T43" i="1"/>
  <c r="M43" i="1"/>
  <c r="T42" i="1"/>
  <c r="M42" i="1"/>
  <c r="T41" i="1"/>
  <c r="M41" i="1"/>
  <c r="T40" i="1"/>
  <c r="M40" i="1"/>
  <c r="T39" i="1"/>
  <c r="M39" i="1"/>
  <c r="T38" i="1"/>
  <c r="M38" i="1"/>
  <c r="T37" i="1"/>
  <c r="M37" i="1"/>
  <c r="T36" i="1"/>
  <c r="M36" i="1"/>
  <c r="T35" i="1"/>
  <c r="M35" i="1"/>
  <c r="T34" i="1"/>
  <c r="M34" i="1"/>
  <c r="T33" i="1"/>
  <c r="M33" i="1"/>
  <c r="T32" i="1"/>
  <c r="M32" i="1"/>
  <c r="T31" i="1"/>
  <c r="M31" i="1"/>
  <c r="T30" i="1"/>
  <c r="M30" i="1"/>
  <c r="T29" i="1"/>
  <c r="M29" i="1"/>
  <c r="T28" i="1"/>
  <c r="M28" i="1"/>
  <c r="T27" i="1"/>
  <c r="M27" i="1"/>
  <c r="T26" i="1"/>
  <c r="M26" i="1"/>
  <c r="T25" i="1"/>
  <c r="M25" i="1"/>
  <c r="T24" i="1"/>
  <c r="M24" i="1"/>
  <c r="T21" i="1"/>
  <c r="M21" i="1"/>
  <c r="T20" i="1"/>
  <c r="M20" i="1"/>
  <c r="T19" i="1"/>
  <c r="M19" i="1"/>
  <c r="T18" i="1"/>
  <c r="M18" i="1"/>
  <c r="T17" i="1"/>
  <c r="M17" i="1"/>
  <c r="T16" i="1"/>
  <c r="M16" i="1"/>
  <c r="T15" i="1"/>
  <c r="M15" i="1"/>
  <c r="T14" i="1"/>
  <c r="M14" i="1"/>
  <c r="T13" i="1"/>
  <c r="M13" i="1"/>
  <c r="T12" i="1"/>
  <c r="M12" i="1"/>
  <c r="T11" i="1"/>
  <c r="M11" i="1"/>
  <c r="T10" i="1"/>
  <c r="M10" i="1"/>
  <c r="T9" i="1"/>
  <c r="M9" i="1"/>
</calcChain>
</file>

<file path=xl/sharedStrings.xml><?xml version="1.0" encoding="utf-8"?>
<sst xmlns="http://schemas.openxmlformats.org/spreadsheetml/2006/main" count="201" uniqueCount="145">
  <si>
    <t>Cover sheet</t>
  </si>
  <si>
    <t>Process Failure Mode and Effect Analysis (PFMEA)</t>
  </si>
  <si>
    <t xml:space="preserve">                                  POTENTIAL FAILURE MODE AND EFFECTS ANALYSIS (PROCESS FMEA) </t>
  </si>
  <si>
    <t>Item</t>
  </si>
  <si>
    <t>Process Responsibility</t>
  </si>
  <si>
    <t>Leopold Volčič</t>
  </si>
  <si>
    <t>PFMEA Number</t>
  </si>
  <si>
    <t>Product Name &amp; Model</t>
  </si>
  <si>
    <t>Key Date</t>
  </si>
  <si>
    <t>Prepared by</t>
  </si>
  <si>
    <t>Janez Jurančič</t>
  </si>
  <si>
    <t>Core Team</t>
  </si>
  <si>
    <t>Leopold Volčič, Primož Jenko, Janez Jurančič</t>
  </si>
  <si>
    <t>Date (Original)</t>
  </si>
  <si>
    <t xml:space="preserve">Date (Revised) </t>
  </si>
  <si>
    <t>Op Seq #</t>
  </si>
  <si>
    <t>Process Function/ Requirment</t>
  </si>
  <si>
    <t>Product Characteristics ID/Description</t>
  </si>
  <si>
    <t>Potential Failure Mode</t>
  </si>
  <si>
    <t>Potential Effect(s) of Failure</t>
  </si>
  <si>
    <t>Severity</t>
  </si>
  <si>
    <t>Classification</t>
  </si>
  <si>
    <t>Potential Cause(s) of Failure</t>
  </si>
  <si>
    <t>Current Process</t>
  </si>
  <si>
    <t>RPN</t>
  </si>
  <si>
    <t>Recommended Action</t>
  </si>
  <si>
    <t>Responsibility Completion Date</t>
  </si>
  <si>
    <t>Action Results</t>
  </si>
  <si>
    <t>Controls Prevention</t>
  </si>
  <si>
    <t>Occurance</t>
  </si>
  <si>
    <t>Controls Detection</t>
  </si>
  <si>
    <t>Detection</t>
  </si>
  <si>
    <t>Actions Taken &amp; Completion date</t>
  </si>
  <si>
    <t>Occurrence</t>
  </si>
  <si>
    <t xml:space="preserve">001 </t>
  </si>
  <si>
    <t>Melting</t>
  </si>
  <si>
    <t>Material structure</t>
  </si>
  <si>
    <t>Wrong material lot, charge, bundle, ingot</t>
  </si>
  <si>
    <t>Customer complaint, dimensional deffects, tolerance deffects, production stop, furnace damaged</t>
  </si>
  <si>
    <t>n/a</t>
  </si>
  <si>
    <t>Wrong material supply, Poor income inspection, water in ingots</t>
  </si>
  <si>
    <t>Material supplier's certificate</t>
  </si>
  <si>
    <t>Spectoanalisys</t>
  </si>
  <si>
    <t>Material cleanliness</t>
  </si>
  <si>
    <t>Unwanted material inclusions and porosity in casts, tool damage</t>
  </si>
  <si>
    <t>Carless material supply packaging</t>
  </si>
  <si>
    <t>Visual control</t>
  </si>
  <si>
    <t>Visual control of ingots</t>
  </si>
  <si>
    <t>Melting temperature</t>
  </si>
  <si>
    <t>Furnace mechanical errors, explosion risk, fire</t>
  </si>
  <si>
    <t>Inattention of operator, mechanical and electrical failures</t>
  </si>
  <si>
    <t>Furnace status control</t>
  </si>
  <si>
    <t>Furnace parameters and setup checks</t>
  </si>
  <si>
    <t>005</t>
  </si>
  <si>
    <t>Die casting and Cutting / Machine setup</t>
  </si>
  <si>
    <t>Setup parameters</t>
  </si>
  <si>
    <t>Production hold, lost time, mechanical problems</t>
  </si>
  <si>
    <t>Lost time, delivery supply, customer's cost, company's cost, Die cast defects, Tool damage</t>
  </si>
  <si>
    <t>Machine setup errors, unknown mechanical and electrical failures, inattention of operator</t>
  </si>
  <si>
    <t>Scheduled parameter check</t>
  </si>
  <si>
    <t>Parameters check control</t>
  </si>
  <si>
    <t>Die casting parameters</t>
  </si>
  <si>
    <t>Production hold, lost time, bad parts,</t>
  </si>
  <si>
    <t>Material structure, Material cleanliness, Material temperature, Innatention of operator, mechanical and electrical failures.</t>
  </si>
  <si>
    <t>Schedule tool check</t>
  </si>
  <si>
    <t>Press Cutting</t>
  </si>
  <si>
    <t>Part's edges and surface</t>
  </si>
  <si>
    <t>Broken part, overcut</t>
  </si>
  <si>
    <t>Increasing of waste, Errors at Output Inspection, Mechanical functionality problems may occur, Customer complanit, later failures at assembly and montage lines at customer facilities, damaged parts, mechanical functionality problems at customer, customer cost, supplier cost, Overcutted parts.</t>
  </si>
  <si>
    <t>Stamping tool damage, setup failure - pressing force</t>
  </si>
  <si>
    <t>Check of stamping tool</t>
  </si>
  <si>
    <t>Caliper cast/part control</t>
  </si>
  <si>
    <t>Periosteal/Impact</t>
  </si>
  <si>
    <t>Tool setup error, Inattention of operator</t>
  </si>
  <si>
    <t>Reset and check machine setup</t>
  </si>
  <si>
    <t>Visual part control,  check control</t>
  </si>
  <si>
    <t>Inspection / 1st Part Approval</t>
  </si>
  <si>
    <t>Fracture</t>
  </si>
  <si>
    <t>Broken part, soft material properties</t>
  </si>
  <si>
    <t>Machine parameters, Gas, Water. Problems at prevous processes. Tool cavitation, material structure, mechanical and electrical problems. Inspection failure.</t>
  </si>
  <si>
    <t>100% Visual control</t>
  </si>
  <si>
    <t>Process hold, Mould tool check, reset, recheck parameters, X-ray machine</t>
  </si>
  <si>
    <t>Operator, Tool mechanic,  Controller</t>
  </si>
  <si>
    <t>Porosity</t>
  </si>
  <si>
    <t>Manual control - sawing a part to check</t>
  </si>
  <si>
    <t>Process hold, X-ray machine control, manual control, Check previous operation steps, define source of failure</t>
  </si>
  <si>
    <t>Operator, Controller</t>
  </si>
  <si>
    <t>Crack</t>
  </si>
  <si>
    <t>Mechanical functionality of part</t>
  </si>
  <si>
    <t>Schedule parameter check</t>
  </si>
  <si>
    <t>Process hold, Mould tool check, CMM control, define source of failure</t>
  </si>
  <si>
    <t>010</t>
  </si>
  <si>
    <t>Milling machine setup</t>
  </si>
  <si>
    <t>Production hold, lost time, mechanical problems, wrong parameters</t>
  </si>
  <si>
    <t>Mechanical functionality problems may occur during the montage and function test phase</t>
  </si>
  <si>
    <t>Parameters check control/ Autocontrol</t>
  </si>
  <si>
    <t>Milling of a die cast</t>
  </si>
  <si>
    <t>Ovrcutted dimensions</t>
  </si>
  <si>
    <t>v</t>
  </si>
  <si>
    <t>Inattention of operator, no caliper control or gauge control</t>
  </si>
  <si>
    <t>Autocontrol - Caliper control</t>
  </si>
  <si>
    <t>015</t>
  </si>
  <si>
    <t>Sandblasting</t>
  </si>
  <si>
    <t>Periosteal/Impact - edges of a part</t>
  </si>
  <si>
    <t>Damaged parts</t>
  </si>
  <si>
    <t>Increasing of waste and cost, Customer complanit, later failures at assembly and montage lines, mechanical functionalities</t>
  </si>
  <si>
    <t>Lack of debburing stones</t>
  </si>
  <si>
    <t>Maintenance of machine</t>
  </si>
  <si>
    <t>Remainder, residue burr</t>
  </si>
  <si>
    <t>Unleaned debburing machine</t>
  </si>
  <si>
    <t>Cleaning of machine</t>
  </si>
  <si>
    <t>Hole drilling</t>
  </si>
  <si>
    <t>Hole Diamenters</t>
  </si>
  <si>
    <t>Overcutt</t>
  </si>
  <si>
    <t>Wrong machine parameters, poor maintenance</t>
  </si>
  <si>
    <t>Autocontrol, preventive control</t>
  </si>
  <si>
    <t>Parameters check/Autocontrol</t>
  </si>
  <si>
    <t>020</t>
  </si>
  <si>
    <t>Apperance of a part, mechanical errors</t>
  </si>
  <si>
    <t>Customer cost - damage parts,  later failures at assembly and montage lines, damaged parts, mechanical functionality problems at customer</t>
  </si>
  <si>
    <t>Carless sorting of parts</t>
  </si>
  <si>
    <t>Bad cooling and cleaning process</t>
  </si>
  <si>
    <t>Cleaning of parts</t>
  </si>
  <si>
    <t>Dimensional defects, mechanical funcionality problems</t>
  </si>
  <si>
    <t>Detection at previous steps of operations, caliper control failure</t>
  </si>
  <si>
    <t>Caliper control</t>
  </si>
  <si>
    <t>CMM inspection</t>
  </si>
  <si>
    <t>025</t>
  </si>
  <si>
    <t>Delivery</t>
  </si>
  <si>
    <t>Incorrectly marked and sorted</t>
  </si>
  <si>
    <t>Error at indentitifaction of a shipment</t>
  </si>
  <si>
    <t>Customer complaint</t>
  </si>
  <si>
    <t>Carless marking and sorting of parts</t>
  </si>
  <si>
    <t>Output inspection</t>
  </si>
  <si>
    <t>Damaged package</t>
  </si>
  <si>
    <t>Transportation failure, package protection failure</t>
  </si>
  <si>
    <t>Transport and support documentation</t>
  </si>
  <si>
    <t>Incomplete documents</t>
  </si>
  <si>
    <t>Lack of documentation, resources</t>
  </si>
  <si>
    <t>442710252570</t>
  </si>
  <si>
    <t>End Inspection and 100% Visual control and packaging</t>
  </si>
  <si>
    <t>Dimensional tolerances according to drawing (CTQs)</t>
  </si>
  <si>
    <t>Spigot D62 BGP760; 761; 762; 763</t>
  </si>
  <si>
    <t>Re-position of process operations to get good CTQ measurement results.</t>
  </si>
  <si>
    <t>Director, Controller, 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</si>
</sst>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0"/>
      <name val="Arial"/>
      <family val="2"/>
      <charset val="238"/>
    </font>
    <font>
      <u/>
      <sz val="10"/>
      <color indexed="12"/>
      <name val="Arial"/>
      <family val="2"/>
    </font>
    <font>
      <sz val="10"/>
      <name val="Arial"/>
      <family val="2"/>
      <charset val="238"/>
    </font>
    <font>
      <b/>
      <sz val="16"/>
      <name val="Arial"/>
      <family val="2"/>
    </font>
    <font>
      <b/>
      <sz val="15"/>
      <color theme="3"/>
      <name val="Calibri"/>
      <family val="2"/>
      <scheme val="minor"/>
    </font>
    <font>
      <b/>
      <sz val="24"/>
      <color theme="0"/>
      <name val="Calibri"/>
      <family val="2"/>
      <scheme val="minor"/>
    </font>
    <font>
      <sz val="12"/>
      <color theme="0"/>
      <name val="Calibri"/>
      <family val="2"/>
      <scheme val="minor"/>
    </font>
    <font>
      <sz val="12"/>
      <color indexed="8"/>
      <name val="Calibri"/>
      <family val="2"/>
      <charset val="1"/>
    </font>
    <font>
      <sz val="8"/>
      <name val="Arial"/>
      <family val="2"/>
    </font>
    <font>
      <sz val="12"/>
      <color theme="1"/>
      <name val="Calibri"/>
      <family val="2"/>
      <scheme val="minor"/>
    </font>
    <font>
      <b/>
      <sz val="10"/>
      <name val="Arial"/>
      <family val="2"/>
    </font>
    <font>
      <sz val="10"/>
      <color theme="1"/>
      <name val="Calibri"/>
      <family val="2"/>
      <scheme val="minor"/>
    </font>
    <font>
      <b/>
      <sz val="11"/>
      <name val="Arial"/>
      <family val="2"/>
    </font>
    <font>
      <b/>
      <sz val="10"/>
      <color indexed="8"/>
      <name val="Calibri"/>
      <family val="2"/>
      <charset val="238"/>
      <scheme val="minor"/>
    </font>
    <font>
      <sz val="10"/>
      <name val="Calibri"/>
      <family val="2"/>
      <charset val="238"/>
      <scheme val="minor"/>
    </font>
    <font>
      <sz val="10"/>
      <color indexed="8"/>
      <name val="Calibri"/>
      <family val="2"/>
      <charset val="238"/>
      <scheme val="minor"/>
    </font>
    <font>
      <sz val="10"/>
      <color indexed="8"/>
      <name val="Calibri"/>
      <family val="2"/>
      <charset val="1"/>
    </font>
    <font>
      <sz val="10"/>
      <name val="Arial"/>
      <family val="2"/>
    </font>
    <font>
      <b/>
      <sz val="10"/>
      <name val="Calibri"/>
      <family val="2"/>
      <charset val="1"/>
    </font>
    <font>
      <sz val="11"/>
      <color theme="0"/>
      <name val="Calibri"/>
      <family val="2"/>
      <scheme val="minor"/>
    </font>
    <font>
      <sz val="10"/>
      <color theme="0"/>
      <name val="Calibri"/>
      <family val="2"/>
      <scheme val="minor"/>
    </font>
    <font>
      <b/>
      <sz val="10"/>
      <color theme="1"/>
      <name val="Calibri"/>
      <family val="2"/>
      <scheme val="minor"/>
    </font>
    <font>
      <sz val="10"/>
      <name val="Calibri"/>
      <family val="2"/>
      <scheme val="minor"/>
    </font>
    <font>
      <b/>
      <sz val="10"/>
      <name val="Calibri"/>
      <family val="2"/>
      <scheme val="minor"/>
    </font>
  </fonts>
  <fills count="14">
    <fill>
      <patternFill patternType="none"/>
    </fill>
    <fill>
      <patternFill patternType="gray125"/>
    </fill>
    <fill>
      <patternFill patternType="solid">
        <fgColor theme="5"/>
      </patternFill>
    </fill>
    <fill>
      <patternFill patternType="solid">
        <fgColor theme="5" tint="0.39997558519241921"/>
        <bgColor indexed="65"/>
      </patternFill>
    </fill>
    <fill>
      <patternFill patternType="solid">
        <fgColor indexed="22"/>
        <bgColor indexed="64"/>
      </patternFill>
    </fill>
    <fill>
      <patternFill patternType="solid">
        <fgColor indexed="40"/>
        <bgColor indexed="64"/>
      </patternFill>
    </fill>
    <fill>
      <patternFill patternType="solid">
        <fgColor rgb="FF0060A8"/>
        <bgColor indexed="64"/>
      </patternFill>
    </fill>
    <fill>
      <patternFill patternType="solid">
        <fgColor theme="3" tint="0.39997558519241921"/>
        <bgColor indexed="64"/>
      </patternFill>
    </fill>
    <fill>
      <patternFill patternType="solid">
        <fgColor indexed="9"/>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C00000"/>
        <bgColor indexed="64"/>
      </patternFill>
    </fill>
    <fill>
      <patternFill patternType="solid">
        <fgColor theme="8" tint="0.79998168889431442"/>
        <bgColor indexed="64"/>
      </patternFill>
    </fill>
    <fill>
      <patternFill patternType="solid">
        <fgColor theme="3" tint="-0.249977111117893"/>
        <bgColor indexed="64"/>
      </patternFill>
    </fill>
  </fills>
  <borders count="57">
    <border>
      <left/>
      <right/>
      <top/>
      <bottom/>
      <diagonal/>
    </border>
    <border>
      <left/>
      <right/>
      <top/>
      <bottom style="thick">
        <color theme="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thin">
        <color indexed="8"/>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diagonalUp="1">
      <left style="medium">
        <color indexed="64"/>
      </left>
      <right style="medium">
        <color indexed="64"/>
      </right>
      <top style="medium">
        <color indexed="64"/>
      </top>
      <bottom/>
      <diagonal style="medium">
        <color indexed="64"/>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diagonalUp="1">
      <left style="medium">
        <color indexed="64"/>
      </left>
      <right style="medium">
        <color indexed="64"/>
      </right>
      <top/>
      <bottom style="thin">
        <color indexed="64"/>
      </bottom>
      <diagonal style="medium">
        <color indexed="64"/>
      </diagonal>
    </border>
    <border>
      <left style="thin">
        <color indexed="64"/>
      </left>
      <right style="medium">
        <color indexed="64"/>
      </right>
      <top style="thin">
        <color indexed="64"/>
      </top>
      <bottom/>
      <diagonal/>
    </border>
    <border>
      <left style="medium">
        <color indexed="8"/>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style="thin">
        <color indexed="64"/>
      </bottom>
      <diagonal/>
    </border>
    <border>
      <left style="medium">
        <color indexed="8"/>
      </left>
      <right style="thin">
        <color indexed="8"/>
      </right>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64"/>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medium">
        <color indexed="8"/>
      </left>
      <right/>
      <top style="thin">
        <color indexed="8"/>
      </top>
      <bottom/>
      <diagonal/>
    </border>
    <border>
      <left/>
      <right style="thin">
        <color indexed="8"/>
      </right>
      <top style="thin">
        <color indexed="8"/>
      </top>
      <bottom style="thin">
        <color indexed="8"/>
      </bottom>
      <diagonal/>
    </border>
    <border>
      <left style="medium">
        <color indexed="8"/>
      </left>
      <right/>
      <top/>
      <bottom style="thin">
        <color indexed="8"/>
      </bottom>
      <diagonal/>
    </border>
    <border>
      <left style="medium">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8"/>
      </left>
      <right/>
      <top/>
      <bottom/>
      <diagonal/>
    </border>
    <border>
      <left style="thin">
        <color indexed="8"/>
      </left>
      <right style="thin">
        <color indexed="8"/>
      </right>
      <top style="thin">
        <color indexed="64"/>
      </top>
      <bottom style="thin">
        <color indexed="8"/>
      </bottom>
      <diagonal/>
    </border>
  </borders>
  <cellStyleXfs count="8">
    <xf numFmtId="0" fontId="0" fillId="0" borderId="0"/>
    <xf numFmtId="0" fontId="4" fillId="0" borderId="1" applyNumberFormat="0" applyFill="0" applyAlignment="0" applyProtection="0"/>
    <xf numFmtId="0" fontId="19" fillId="2" borderId="0" applyNumberFormat="0" applyBorder="0" applyAlignment="0" applyProtection="0"/>
    <xf numFmtId="0" fontId="19" fillId="3" borderId="0" applyNumberFormat="0" applyBorder="0" applyAlignment="0" applyProtection="0"/>
    <xf numFmtId="0" fontId="1" fillId="0" borderId="0" applyNumberFormat="0" applyFill="0" applyBorder="0" applyAlignment="0" applyProtection="0">
      <alignment vertical="top"/>
      <protection locked="0"/>
    </xf>
    <xf numFmtId="0" fontId="2" fillId="0" borderId="0"/>
    <xf numFmtId="38" fontId="8" fillId="8" borderId="0" applyNumberFormat="0" applyBorder="0" applyAlignment="0" applyProtection="0"/>
    <xf numFmtId="0" fontId="17" fillId="0" borderId="0"/>
  </cellStyleXfs>
  <cellXfs count="139">
    <xf numFmtId="0" fontId="0" fillId="0" borderId="0" xfId="0"/>
    <xf numFmtId="0" fontId="1" fillId="4" borderId="2" xfId="4" applyFill="1" applyBorder="1" applyAlignment="1" applyProtection="1">
      <alignment horizontal="center" vertical="center"/>
    </xf>
    <xf numFmtId="0" fontId="0" fillId="4" borderId="2" xfId="0" applyFill="1" applyBorder="1"/>
    <xf numFmtId="0" fontId="6" fillId="7" borderId="11" xfId="0" applyFont="1" applyFill="1" applyBorder="1" applyAlignment="1">
      <alignment horizontal="right"/>
    </xf>
    <xf numFmtId="0" fontId="6" fillId="7" borderId="11" xfId="0" applyFont="1" applyFill="1" applyBorder="1" applyAlignment="1"/>
    <xf numFmtId="0" fontId="6" fillId="7" borderId="14" xfId="0" applyFont="1" applyFill="1" applyBorder="1" applyAlignment="1">
      <alignment horizontal="right"/>
    </xf>
    <xf numFmtId="0" fontId="6" fillId="7" borderId="16" xfId="0" applyFont="1" applyFill="1" applyBorder="1" applyAlignment="1"/>
    <xf numFmtId="0" fontId="6" fillId="7" borderId="15" xfId="0" applyFont="1" applyFill="1" applyBorder="1" applyAlignment="1">
      <alignment horizontal="left"/>
    </xf>
    <xf numFmtId="14" fontId="9" fillId="0" borderId="0" xfId="0" applyNumberFormat="1" applyFont="1" applyBorder="1" applyAlignment="1">
      <alignment horizontal="left" indent="1"/>
    </xf>
    <xf numFmtId="0" fontId="6" fillId="7" borderId="12" xfId="0" applyFont="1" applyFill="1" applyBorder="1" applyAlignment="1">
      <alignment horizontal="left" indent="1"/>
    </xf>
    <xf numFmtId="0" fontId="10" fillId="9" borderId="32" xfId="0" applyFont="1" applyFill="1" applyBorder="1" applyAlignment="1">
      <alignment horizontal="center" vertical="center" wrapText="1"/>
    </xf>
    <xf numFmtId="0" fontId="10" fillId="9" borderId="22" xfId="0" applyFont="1" applyFill="1" applyBorder="1" applyAlignment="1">
      <alignment horizontal="center" vertical="center" textRotation="90"/>
    </xf>
    <xf numFmtId="0" fontId="10" fillId="9" borderId="32" xfId="0" applyFont="1" applyFill="1" applyBorder="1" applyAlignment="1">
      <alignment horizontal="center" vertical="center" textRotation="90"/>
    </xf>
    <xf numFmtId="0" fontId="10" fillId="10" borderId="32" xfId="0" applyFont="1" applyFill="1" applyBorder="1" applyAlignment="1">
      <alignment horizontal="center" vertical="center" wrapText="1"/>
    </xf>
    <xf numFmtId="0" fontId="10" fillId="10" borderId="32" xfId="0" applyFont="1" applyFill="1" applyBorder="1" applyAlignment="1">
      <alignment horizontal="center" vertical="center" textRotation="90"/>
    </xf>
    <xf numFmtId="0" fontId="10" fillId="10" borderId="35" xfId="0" applyFont="1" applyFill="1" applyBorder="1" applyAlignment="1">
      <alignment horizontal="center" vertical="center" textRotation="90"/>
    </xf>
    <xf numFmtId="0" fontId="14" fillId="0" borderId="38" xfId="5" applyFont="1" applyFill="1" applyBorder="1" applyAlignment="1">
      <alignment vertical="center" wrapText="1"/>
    </xf>
    <xf numFmtId="0" fontId="15" fillId="0" borderId="38" xfId="5" applyFont="1" applyBorder="1" applyAlignment="1">
      <alignment horizontal="left" vertical="center" wrapText="1"/>
    </xf>
    <xf numFmtId="0" fontId="16" fillId="0" borderId="38" xfId="5" applyFont="1" applyBorder="1" applyAlignment="1">
      <alignment horizontal="center" vertical="center"/>
    </xf>
    <xf numFmtId="0" fontId="18" fillId="0" borderId="38" xfId="7" applyFont="1" applyFill="1" applyBorder="1" applyAlignment="1" applyProtection="1">
      <alignment horizontal="center" vertical="center" wrapText="1" readingOrder="1"/>
      <protection locked="0"/>
    </xf>
    <xf numFmtId="0" fontId="16" fillId="0" borderId="38" xfId="5" applyFont="1" applyBorder="1" applyAlignment="1">
      <alignment vertical="center" wrapText="1"/>
    </xf>
    <xf numFmtId="0" fontId="16" fillId="0" borderId="38" xfId="5" applyFont="1" applyBorder="1" applyAlignment="1">
      <alignment horizontal="left" vertical="center" wrapText="1" indent="1"/>
    </xf>
    <xf numFmtId="0" fontId="20" fillId="11" borderId="29" xfId="2" applyFont="1" applyFill="1" applyBorder="1" applyAlignment="1">
      <alignment horizontal="center" vertical="center"/>
    </xf>
    <xf numFmtId="0" fontId="2" fillId="12" borderId="29" xfId="0" applyFont="1" applyFill="1" applyBorder="1" applyAlignment="1">
      <alignment horizontal="center" vertical="center"/>
    </xf>
    <xf numFmtId="0" fontId="0" fillId="12" borderId="29" xfId="0" applyFill="1" applyBorder="1" applyAlignment="1">
      <alignment horizontal="center" vertical="center"/>
    </xf>
    <xf numFmtId="0" fontId="19" fillId="13" borderId="39" xfId="3" applyFill="1" applyBorder="1" applyAlignment="1">
      <alignment horizontal="center" vertical="center"/>
    </xf>
    <xf numFmtId="0" fontId="15" fillId="0" borderId="38" xfId="5" applyFont="1" applyBorder="1" applyAlignment="1">
      <alignment vertical="center" wrapText="1"/>
    </xf>
    <xf numFmtId="0" fontId="2" fillId="12" borderId="29" xfId="0" applyFont="1" applyFill="1" applyBorder="1" applyAlignment="1">
      <alignment horizontal="left" vertical="center" wrapText="1" indent="1"/>
    </xf>
    <xf numFmtId="0" fontId="0" fillId="12" borderId="29" xfId="0" applyFill="1" applyBorder="1" applyAlignment="1">
      <alignment horizontal="left" vertical="center" wrapText="1" indent="1"/>
    </xf>
    <xf numFmtId="0" fontId="15" fillId="0" borderId="38" xfId="5" applyFont="1" applyBorder="1" applyAlignment="1">
      <alignment horizontal="left" vertical="center" wrapText="1" indent="1"/>
    </xf>
    <xf numFmtId="0" fontId="14" fillId="0" borderId="38" xfId="5" applyFont="1" applyFill="1" applyBorder="1" applyAlignment="1">
      <alignment horizontal="left" vertical="center" wrapText="1" indent="1"/>
    </xf>
    <xf numFmtId="0" fontId="15" fillId="0" borderId="38" xfId="5" applyFont="1" applyBorder="1" applyAlignment="1">
      <alignment horizontal="center" vertical="center" wrapText="1"/>
    </xf>
    <xf numFmtId="0" fontId="16" fillId="0" borderId="38" xfId="5" applyFont="1" applyBorder="1" applyAlignment="1">
      <alignment horizontal="left" vertical="center" wrapText="1"/>
    </xf>
    <xf numFmtId="0" fontId="0" fillId="12" borderId="29" xfId="0" applyFill="1" applyBorder="1" applyAlignment="1">
      <alignment horizontal="left" vertical="center" indent="1"/>
    </xf>
    <xf numFmtId="0" fontId="14" fillId="0" borderId="29" xfId="5" applyFont="1" applyFill="1" applyBorder="1" applyAlignment="1">
      <alignment horizontal="center" vertical="center" wrapText="1"/>
    </xf>
    <xf numFmtId="0" fontId="15" fillId="0" borderId="48" xfId="5" applyFont="1" applyBorder="1" applyAlignment="1">
      <alignment horizontal="left" vertical="center" wrapText="1" indent="1"/>
    </xf>
    <xf numFmtId="0" fontId="15" fillId="0" borderId="46" xfId="5" applyFont="1" applyBorder="1" applyAlignment="1">
      <alignment horizontal="center" vertical="center" wrapText="1"/>
    </xf>
    <xf numFmtId="0" fontId="16" fillId="0" borderId="38" xfId="5" applyFont="1" applyBorder="1" applyAlignment="1">
      <alignment horizontal="left" vertical="center"/>
    </xf>
    <xf numFmtId="0" fontId="21" fillId="0" borderId="28" xfId="0" applyFont="1" applyFill="1" applyBorder="1" applyAlignment="1">
      <alignment horizontal="center" vertical="center"/>
    </xf>
    <xf numFmtId="0" fontId="22" fillId="0" borderId="29" xfId="0" applyFont="1" applyFill="1" applyBorder="1" applyAlignment="1">
      <alignment horizontal="left" vertical="center" wrapText="1"/>
    </xf>
    <xf numFmtId="0" fontId="22" fillId="0" borderId="29" xfId="0" applyFont="1" applyFill="1" applyBorder="1" applyAlignment="1">
      <alignment horizontal="left" vertical="center" wrapText="1" indent="1"/>
    </xf>
    <xf numFmtId="0" fontId="11" fillId="0" borderId="29" xfId="0" applyFont="1" applyBorder="1" applyAlignment="1">
      <alignment horizontal="center" vertical="center" wrapText="1"/>
    </xf>
    <xf numFmtId="0" fontId="11" fillId="0" borderId="29" xfId="0" applyFont="1" applyBorder="1" applyAlignment="1">
      <alignment horizontal="left" vertical="center" wrapText="1"/>
    </xf>
    <xf numFmtId="0" fontId="11" fillId="0" borderId="29" xfId="0" applyFont="1" applyBorder="1" applyAlignment="1">
      <alignment horizontal="center" vertical="center"/>
    </xf>
    <xf numFmtId="0" fontId="23" fillId="0" borderId="29" xfId="7" applyFont="1" applyFill="1" applyBorder="1" applyAlignment="1" applyProtection="1">
      <alignment horizontal="center" vertical="center" wrapText="1" readingOrder="1"/>
      <protection locked="0"/>
    </xf>
    <xf numFmtId="0" fontId="11" fillId="0" borderId="29" xfId="0" applyFont="1" applyBorder="1" applyAlignment="1">
      <alignment horizontal="left" vertical="center"/>
    </xf>
    <xf numFmtId="0" fontId="11" fillId="0" borderId="29" xfId="0" applyFont="1" applyBorder="1" applyAlignment="1">
      <alignment horizontal="left" vertical="center" wrapText="1" indent="1"/>
    </xf>
    <xf numFmtId="0" fontId="17" fillId="0" borderId="29" xfId="0" applyFont="1" applyFill="1" applyBorder="1" applyAlignment="1">
      <alignment horizontal="left" vertical="center" wrapText="1"/>
    </xf>
    <xf numFmtId="0" fontId="17" fillId="0" borderId="29" xfId="0" applyFont="1" applyFill="1" applyBorder="1" applyAlignment="1">
      <alignment horizontal="left" vertical="center" wrapText="1" indent="1"/>
    </xf>
    <xf numFmtId="0" fontId="17" fillId="0" borderId="29" xfId="0" applyFont="1" applyFill="1" applyBorder="1" applyAlignment="1">
      <alignment horizontal="left" vertical="center"/>
    </xf>
    <xf numFmtId="0" fontId="17" fillId="0" borderId="29" xfId="0" applyFont="1" applyFill="1" applyBorder="1" applyAlignment="1">
      <alignment horizontal="left" vertical="center" indent="1"/>
    </xf>
    <xf numFmtId="0" fontId="11" fillId="0" borderId="29" xfId="0" applyFont="1" applyFill="1" applyBorder="1" applyAlignment="1">
      <alignment horizontal="center" vertical="center" wrapText="1"/>
    </xf>
    <xf numFmtId="0" fontId="0" fillId="0" borderId="29" xfId="0" applyBorder="1" applyAlignment="1">
      <alignment horizontal="left" wrapText="1"/>
    </xf>
    <xf numFmtId="0" fontId="0" fillId="0" borderId="29" xfId="0" applyBorder="1" applyAlignment="1">
      <alignment horizontal="center" vertical="center"/>
    </xf>
    <xf numFmtId="0" fontId="0" fillId="0" borderId="29" xfId="0" applyBorder="1"/>
    <xf numFmtId="0" fontId="0" fillId="0" borderId="29" xfId="0" applyBorder="1" applyAlignment="1">
      <alignment horizontal="left" wrapText="1" indent="1"/>
    </xf>
    <xf numFmtId="0" fontId="0" fillId="0" borderId="29" xfId="0" applyBorder="1" applyAlignment="1">
      <alignment wrapText="1"/>
    </xf>
    <xf numFmtId="0" fontId="0" fillId="0" borderId="29" xfId="0" applyBorder="1" applyAlignment="1">
      <alignment horizontal="left"/>
    </xf>
    <xf numFmtId="0" fontId="0" fillId="0" borderId="29" xfId="0" applyBorder="1" applyAlignment="1">
      <alignment horizontal="left" indent="1"/>
    </xf>
    <xf numFmtId="0" fontId="22" fillId="0" borderId="51" xfId="0" applyFont="1" applyFill="1" applyBorder="1" applyAlignment="1">
      <alignment horizontal="left" vertical="center" wrapText="1"/>
    </xf>
    <xf numFmtId="0" fontId="17" fillId="0" borderId="28" xfId="0" applyFont="1" applyFill="1" applyBorder="1" applyAlignment="1">
      <alignment horizontal="center" vertical="center" wrapText="1"/>
    </xf>
    <xf numFmtId="0" fontId="21" fillId="0" borderId="52" xfId="0" applyFont="1" applyFill="1" applyBorder="1" applyAlignment="1">
      <alignment horizontal="center" vertical="center"/>
    </xf>
    <xf numFmtId="0" fontId="22" fillId="0" borderId="53" xfId="0" applyFont="1" applyFill="1" applyBorder="1" applyAlignment="1">
      <alignment horizontal="left" vertical="center" wrapText="1"/>
    </xf>
    <xf numFmtId="0" fontId="22" fillId="0" borderId="32" xfId="0" applyFont="1" applyFill="1" applyBorder="1" applyAlignment="1">
      <alignment horizontal="left" vertical="center" wrapText="1" indent="1"/>
    </xf>
    <xf numFmtId="0" fontId="11" fillId="0" borderId="54" xfId="0" applyFont="1" applyBorder="1" applyAlignment="1">
      <alignment horizontal="center" vertical="center" wrapText="1"/>
    </xf>
    <xf numFmtId="0" fontId="11" fillId="0" borderId="54" xfId="0" applyFont="1" applyBorder="1" applyAlignment="1">
      <alignment horizontal="left" vertical="center" wrapText="1"/>
    </xf>
    <xf numFmtId="0" fontId="11" fillId="0" borderId="54" xfId="0" applyFont="1" applyBorder="1" applyAlignment="1">
      <alignment horizontal="center" vertical="center"/>
    </xf>
    <xf numFmtId="0" fontId="23" fillId="0" borderId="54" xfId="7" applyFont="1" applyFill="1" applyBorder="1" applyAlignment="1" applyProtection="1">
      <alignment horizontal="center" vertical="center" wrapText="1" readingOrder="1"/>
      <protection locked="0"/>
    </xf>
    <xf numFmtId="0" fontId="11" fillId="0" borderId="54" xfId="0" applyFont="1" applyBorder="1" applyAlignment="1">
      <alignment horizontal="left" vertical="center"/>
    </xf>
    <xf numFmtId="0" fontId="11" fillId="0" borderId="54" xfId="0" applyFont="1" applyBorder="1" applyAlignment="1">
      <alignment horizontal="left" vertical="center" wrapText="1" indent="1"/>
    </xf>
    <xf numFmtId="0" fontId="0" fillId="12" borderId="54" xfId="0" applyFill="1" applyBorder="1" applyAlignment="1">
      <alignment horizontal="left" vertical="center" wrapText="1" indent="1"/>
    </xf>
    <xf numFmtId="0" fontId="0" fillId="12" borderId="54" xfId="0" applyFill="1" applyBorder="1" applyAlignment="1">
      <alignment horizontal="left" vertical="center" indent="1"/>
    </xf>
    <xf numFmtId="0" fontId="0" fillId="12" borderId="54" xfId="0" applyFill="1" applyBorder="1" applyAlignment="1">
      <alignment horizontal="center" vertical="center"/>
    </xf>
    <xf numFmtId="0" fontId="15" fillId="0" borderId="38" xfId="5" applyFont="1" applyBorder="1" applyAlignment="1">
      <alignment horizontal="center" vertical="center" wrapText="1"/>
    </xf>
    <xf numFmtId="0" fontId="3" fillId="5" borderId="3" xfId="0" applyFont="1" applyFill="1" applyBorder="1" applyAlignment="1">
      <alignment horizontal="center"/>
    </xf>
    <xf numFmtId="0" fontId="3" fillId="5" borderId="4" xfId="0" applyFont="1" applyFill="1" applyBorder="1" applyAlignment="1">
      <alignment horizontal="center"/>
    </xf>
    <xf numFmtId="0" fontId="5" fillId="6" borderId="5" xfId="1" applyFont="1" applyFill="1" applyBorder="1" applyAlignment="1">
      <alignment horizontal="left" vertical="center" wrapText="1"/>
    </xf>
    <xf numFmtId="0" fontId="5" fillId="6" borderId="6" xfId="1" applyFont="1" applyFill="1" applyBorder="1" applyAlignment="1">
      <alignment horizontal="left" vertical="center" wrapText="1"/>
    </xf>
    <xf numFmtId="0" fontId="5" fillId="6" borderId="7" xfId="1" applyFont="1" applyFill="1" applyBorder="1" applyAlignment="1">
      <alignment horizontal="left" vertical="center" wrapText="1"/>
    </xf>
    <xf numFmtId="0" fontId="6" fillId="7" borderId="8" xfId="0" applyFont="1" applyFill="1" applyBorder="1" applyAlignment="1">
      <alignment horizontal="center"/>
    </xf>
    <xf numFmtId="0" fontId="6" fillId="7" borderId="9" xfId="0" applyFont="1" applyFill="1" applyBorder="1" applyAlignment="1">
      <alignment horizontal="center"/>
    </xf>
    <xf numFmtId="49" fontId="7" fillId="0" borderId="10" xfId="5" applyNumberFormat="1" applyFont="1" applyFill="1" applyBorder="1" applyAlignment="1">
      <alignment horizontal="left" indent="2"/>
    </xf>
    <xf numFmtId="0" fontId="8" fillId="8" borderId="12" xfId="6" applyNumberFormat="1" applyBorder="1" applyAlignment="1">
      <alignment horizontal="left" vertical="top" indent="2"/>
    </xf>
    <xf numFmtId="0" fontId="8" fillId="8" borderId="12" xfId="6" applyNumberFormat="1" applyBorder="1" applyAlignment="1">
      <alignment horizontal="left" indent="2"/>
    </xf>
    <xf numFmtId="0" fontId="9" fillId="0" borderId="0" xfId="0" applyNumberFormat="1" applyFont="1" applyBorder="1" applyAlignment="1">
      <alignment horizontal="left" vertical="top" indent="1"/>
    </xf>
    <xf numFmtId="0" fontId="9" fillId="0" borderId="9" xfId="0" applyNumberFormat="1" applyFont="1" applyBorder="1" applyAlignment="1">
      <alignment horizontal="left" vertical="top" indent="1"/>
    </xf>
    <xf numFmtId="0" fontId="10" fillId="9" borderId="21" xfId="0" applyFont="1" applyFill="1" applyBorder="1" applyAlignment="1">
      <alignment horizontal="center" vertical="center" textRotation="90"/>
    </xf>
    <xf numFmtId="0" fontId="10" fillId="9" borderId="32" xfId="0" applyFont="1" applyFill="1" applyBorder="1" applyAlignment="1">
      <alignment horizontal="center" vertical="center" textRotation="90"/>
    </xf>
    <xf numFmtId="0" fontId="7" fillId="0" borderId="13" xfId="5" applyFont="1" applyFill="1" applyBorder="1" applyAlignment="1">
      <alignment horizontal="left" indent="2"/>
    </xf>
    <xf numFmtId="14" fontId="9" fillId="0" borderId="15" xfId="0" applyNumberFormat="1" applyFont="1" applyBorder="1" applyAlignment="1">
      <alignment horizontal="left" vertical="top" indent="2"/>
    </xf>
    <xf numFmtId="0" fontId="9" fillId="0" borderId="15" xfId="0" applyNumberFormat="1" applyFont="1" applyBorder="1" applyAlignment="1">
      <alignment horizontal="left" vertical="top" indent="2"/>
    </xf>
    <xf numFmtId="0" fontId="9" fillId="0" borderId="17" xfId="0" applyFont="1" applyBorder="1" applyAlignment="1">
      <alignment horizontal="left" vertical="top" wrapText="1" indent="2"/>
    </xf>
    <xf numFmtId="0" fontId="9" fillId="0" borderId="18" xfId="0" applyFont="1" applyBorder="1" applyAlignment="1">
      <alignment horizontal="left" vertical="top" wrapText="1" indent="2"/>
    </xf>
    <xf numFmtId="0" fontId="9" fillId="0" borderId="4" xfId="0" applyFont="1" applyBorder="1" applyAlignment="1">
      <alignment horizontal="left" vertical="top" wrapText="1" indent="2"/>
    </xf>
    <xf numFmtId="0" fontId="9" fillId="0" borderId="19" xfId="0" applyFont="1" applyBorder="1" applyAlignment="1">
      <alignment horizontal="left" vertical="top" wrapText="1" indent="2"/>
    </xf>
    <xf numFmtId="14" fontId="9" fillId="0" borderId="8" xfId="0" applyNumberFormat="1" applyFont="1" applyBorder="1" applyAlignment="1">
      <alignment horizontal="left" indent="2"/>
    </xf>
    <xf numFmtId="0" fontId="9" fillId="0" borderId="0" xfId="0" applyNumberFormat="1" applyFont="1" applyBorder="1" applyAlignment="1">
      <alignment horizontal="left" indent="2"/>
    </xf>
    <xf numFmtId="0" fontId="9" fillId="0" borderId="9" xfId="0" applyNumberFormat="1" applyFont="1" applyBorder="1" applyAlignment="1">
      <alignment horizontal="left" indent="2"/>
    </xf>
    <xf numFmtId="0" fontId="10" fillId="9" borderId="20" xfId="0" applyFont="1" applyFill="1" applyBorder="1" applyAlignment="1">
      <alignment horizontal="center" vertical="center" wrapText="1"/>
    </xf>
    <xf numFmtId="0" fontId="10" fillId="9" borderId="28"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22" xfId="0" applyFont="1" applyFill="1" applyBorder="1" applyAlignment="1">
      <alignment horizontal="center" vertical="center" wrapText="1"/>
    </xf>
    <xf numFmtId="0" fontId="10" fillId="9" borderId="30" xfId="0" applyFont="1" applyFill="1" applyBorder="1" applyAlignment="1">
      <alignment horizontal="center" vertical="center" wrapText="1"/>
    </xf>
    <xf numFmtId="0" fontId="10" fillId="9" borderId="23"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0" fillId="10" borderId="21" xfId="0" applyFont="1" applyFill="1" applyBorder="1" applyAlignment="1">
      <alignment horizontal="center"/>
    </xf>
    <xf numFmtId="0" fontId="10" fillId="10" borderId="27" xfId="0" applyFont="1" applyFill="1" applyBorder="1" applyAlignment="1">
      <alignment horizontal="center"/>
    </xf>
    <xf numFmtId="49" fontId="13" fillId="0" borderId="36" xfId="5" applyNumberFormat="1" applyFont="1" applyFill="1" applyBorder="1" applyAlignment="1">
      <alignment horizontal="center" vertical="center"/>
    </xf>
    <xf numFmtId="49" fontId="13" fillId="0" borderId="40" xfId="5" applyNumberFormat="1" applyFont="1" applyFill="1" applyBorder="1" applyAlignment="1">
      <alignment horizontal="center" vertical="center"/>
    </xf>
    <xf numFmtId="49" fontId="13" fillId="0" borderId="42" xfId="5" applyNumberFormat="1" applyFont="1" applyFill="1" applyBorder="1" applyAlignment="1">
      <alignment horizontal="center" vertical="center"/>
    </xf>
    <xf numFmtId="0" fontId="14" fillId="0" borderId="37" xfId="5" applyFont="1" applyFill="1" applyBorder="1" applyAlignment="1">
      <alignment horizontal="center" vertical="center" wrapText="1"/>
    </xf>
    <xf numFmtId="0" fontId="14" fillId="0" borderId="41" xfId="5" applyFont="1" applyFill="1" applyBorder="1" applyAlignment="1">
      <alignment horizontal="center" vertical="center" wrapText="1"/>
    </xf>
    <xf numFmtId="0" fontId="14" fillId="0" borderId="43" xfId="5" applyFont="1" applyFill="1" applyBorder="1" applyAlignment="1">
      <alignment horizontal="center" vertical="center" wrapText="1"/>
    </xf>
    <xf numFmtId="0" fontId="15" fillId="0" borderId="38" xfId="5" applyFont="1" applyBorder="1" applyAlignment="1">
      <alignment horizontal="center" vertical="center" wrapText="1"/>
    </xf>
    <xf numFmtId="49" fontId="13" fillId="0" borderId="44" xfId="5" applyNumberFormat="1" applyFont="1" applyFill="1" applyBorder="1" applyAlignment="1">
      <alignment horizontal="center" vertical="center"/>
    </xf>
    <xf numFmtId="0" fontId="14" fillId="0" borderId="46" xfId="5" applyFont="1" applyFill="1" applyBorder="1" applyAlignment="1">
      <alignment horizontal="center" vertical="center" wrapText="1"/>
    </xf>
    <xf numFmtId="0" fontId="15" fillId="0" borderId="45" xfId="5" applyFont="1" applyBorder="1" applyAlignment="1">
      <alignment horizontal="center" vertical="center" wrapText="1"/>
    </xf>
    <xf numFmtId="0" fontId="15" fillId="0" borderId="43" xfId="5" applyFont="1" applyBorder="1" applyAlignment="1">
      <alignment horizontal="center" vertical="center" wrapText="1"/>
    </xf>
    <xf numFmtId="0" fontId="14" fillId="0" borderId="45" xfId="5" applyFont="1" applyFill="1" applyBorder="1" applyAlignment="1">
      <alignment horizontal="center" vertical="center" wrapText="1"/>
    </xf>
    <xf numFmtId="0" fontId="15" fillId="0" borderId="37" xfId="5" applyFont="1" applyBorder="1" applyAlignment="1">
      <alignment horizontal="center" vertical="center" wrapText="1"/>
    </xf>
    <xf numFmtId="0" fontId="15" fillId="0" borderId="41" xfId="5" applyFont="1" applyBorder="1" applyAlignment="1">
      <alignment horizontal="center" vertical="center" wrapText="1"/>
    </xf>
    <xf numFmtId="0" fontId="15" fillId="0" borderId="46" xfId="5" applyFont="1" applyBorder="1" applyAlignment="1">
      <alignment horizontal="center" vertical="center" wrapText="1"/>
    </xf>
    <xf numFmtId="0" fontId="10" fillId="9" borderId="24"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11" fillId="9" borderId="6" xfId="0" applyFont="1" applyFill="1" applyBorder="1" applyAlignment="1">
      <alignment horizontal="center" vertical="center"/>
    </xf>
    <xf numFmtId="0" fontId="11" fillId="9" borderId="25" xfId="0" applyFont="1" applyFill="1" applyBorder="1" applyAlignment="1">
      <alignment horizontal="center" vertical="center"/>
    </xf>
    <xf numFmtId="0" fontId="10" fillId="9" borderId="22" xfId="0" applyFont="1" applyFill="1" applyBorder="1" applyAlignment="1">
      <alignment horizontal="center" vertical="center" textRotation="90"/>
    </xf>
    <xf numFmtId="0" fontId="10" fillId="9" borderId="33" xfId="0" applyFont="1" applyFill="1" applyBorder="1" applyAlignment="1">
      <alignment horizontal="center" vertical="center" textRotation="90"/>
    </xf>
    <xf numFmtId="0" fontId="10" fillId="10" borderId="21" xfId="0" applyFont="1" applyFill="1" applyBorder="1" applyAlignment="1">
      <alignment horizontal="center" vertical="center" wrapText="1"/>
    </xf>
    <xf numFmtId="0" fontId="10" fillId="10" borderId="32" xfId="0" applyFont="1" applyFill="1" applyBorder="1" applyAlignment="1">
      <alignment horizontal="center" vertical="center" wrapText="1"/>
    </xf>
    <xf numFmtId="0" fontId="12" fillId="10" borderId="26" xfId="0" applyFont="1" applyFill="1" applyBorder="1" applyAlignment="1">
      <alignment horizontal="center" vertical="center" textRotation="30" wrapText="1"/>
    </xf>
    <xf numFmtId="0" fontId="0" fillId="0" borderId="34" xfId="0" applyFont="1" applyBorder="1" applyAlignment="1">
      <alignment textRotation="30"/>
    </xf>
    <xf numFmtId="49" fontId="13" fillId="0" borderId="47" xfId="5" applyNumberFormat="1" applyFont="1" applyFill="1" applyBorder="1" applyAlignment="1">
      <alignment horizontal="center" vertical="center"/>
    </xf>
    <xf numFmtId="49" fontId="13" fillId="0" borderId="49" xfId="5" applyNumberFormat="1" applyFont="1" applyFill="1" applyBorder="1" applyAlignment="1">
      <alignment horizontal="center" vertical="center"/>
    </xf>
    <xf numFmtId="49" fontId="13" fillId="0" borderId="50" xfId="5" applyNumberFormat="1" applyFont="1" applyFill="1" applyBorder="1" applyAlignment="1">
      <alignment horizontal="center" vertical="center"/>
    </xf>
    <xf numFmtId="0" fontId="14" fillId="0" borderId="38" xfId="5" applyFont="1" applyFill="1" applyBorder="1" applyAlignment="1">
      <alignment horizontal="center" vertical="center" wrapText="1"/>
    </xf>
    <xf numFmtId="49" fontId="13" fillId="0" borderId="55" xfId="5" applyNumberFormat="1" applyFont="1" applyFill="1" applyBorder="1" applyAlignment="1">
      <alignment horizontal="center" vertical="center"/>
    </xf>
    <xf numFmtId="0" fontId="14" fillId="0" borderId="56" xfId="5" applyFont="1" applyFill="1" applyBorder="1" applyAlignment="1">
      <alignment horizontal="center" vertical="center" wrapText="1"/>
    </xf>
  </cellXfs>
  <cellStyles count="8">
    <cellStyle name="60 % – Poudarek2" xfId="3" builtinId="36"/>
    <cellStyle name="Excel Built-in Normal" xfId="5"/>
    <cellStyle name="Grey" xfId="6"/>
    <cellStyle name="Hiperpovezava" xfId="4" builtinId="8"/>
    <cellStyle name="Naslov 1" xfId="1" builtinId="16"/>
    <cellStyle name="Navadno" xfId="0" builtinId="0"/>
    <cellStyle name="Normal 2" xfId="7"/>
    <cellStyle name="Poudarek2" xfId="2" builtinId="33"/>
  </cellStyles>
  <dxfs count="71">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color theme="0"/>
      </font>
      <fill>
        <patternFill>
          <bgColor rgb="FFFF0000"/>
        </patternFill>
      </fill>
    </dxf>
    <dxf>
      <font>
        <color theme="0"/>
      </font>
      <fill>
        <patternFill>
          <bgColor theme="4"/>
        </patternFill>
      </fill>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
      <font>
        <color rgb="FF00B050"/>
      </font>
    </dxf>
    <dxf>
      <font>
        <b/>
        <i val="0"/>
        <color rgb="FFFF0000"/>
      </font>
    </dxf>
    <dxf>
      <font>
        <b/>
        <i val="0"/>
        <color rgb="FFFF0000"/>
      </font>
    </dxf>
    <dxf>
      <font>
        <color rgb="FF0000CC"/>
      </font>
    </dxf>
    <dxf>
      <font>
        <b/>
        <i val="0"/>
        <color theme="0"/>
      </font>
      <fill>
        <patternFill>
          <bgColor rgb="FF00B0F0"/>
        </patternFill>
      </fill>
      <border>
        <left style="thin">
          <color indexed="64"/>
        </left>
        <right style="thin">
          <color indexed="64"/>
        </right>
        <top style="thin">
          <color indexed="64"/>
        </top>
        <bottom style="thin">
          <color indexed="64"/>
        </bottom>
      </border>
    </dxf>
    <dxf>
      <font>
        <b/>
        <i val="0"/>
        <color theme="0"/>
      </font>
      <fill>
        <patternFill>
          <bgColor rgb="FFFF0000"/>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23812</xdr:colOff>
      <xdr:row>2</xdr:row>
      <xdr:rowOff>23812</xdr:rowOff>
    </xdr:from>
    <xdr:to>
      <xdr:col>1</xdr:col>
      <xdr:colOff>1488281</xdr:colOff>
      <xdr:row>3</xdr:row>
      <xdr:rowOff>26194</xdr:rowOff>
    </xdr:to>
    <xdr:pic>
      <xdr:nvPicPr>
        <xdr:cNvPr id="2" name="Picture 1">
          <a:extLst>
            <a:ext uri="{FF2B5EF4-FFF2-40B4-BE49-F238E27FC236}">
              <a16:creationId xmlns:a16="http://schemas.microsoft.com/office/drawing/2014/main" id="{4BA2B8D1-6B71-4C7E-B853-E3B6C691EAEA}"/>
            </a:ext>
          </a:extLst>
        </xdr:cNvPr>
        <xdr:cNvPicPr>
          <a:picLocks noChangeAspect="1" noChangeArrowheads="1"/>
        </xdr:cNvPicPr>
      </xdr:nvPicPr>
      <xdr:blipFill rotWithShape="1">
        <a:blip xmlns:r="http://schemas.openxmlformats.org/officeDocument/2006/relationships" r:embed="rId1" cstate="print"/>
        <a:srcRect t="1" b="38214"/>
        <a:stretch/>
      </xdr:blipFill>
      <xdr:spPr bwMode="auto">
        <a:xfrm>
          <a:off x="23812" y="481012"/>
          <a:ext cx="2302669" cy="41195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JanezJurancic/HOBOTNICA/KUPCI/PHILIPS/Philips%20HUN/DC%20Heatsink%20GSA%20Gridlight/SUBMISION/FMEA_44431101020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nezJurancic/HOBOTNICA/KUPCI/PHILIPS/Spigot%20Holder%20UniStreet%20BGP203/PPAP%20documentation/EC_442710181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P Elements"/>
      <sheetName val="Instruction"/>
      <sheetName val="PSW"/>
      <sheetName val="Design record"/>
      <sheetName val="Cust. Eng. approval"/>
      <sheetName val="DFMEA"/>
      <sheetName val="Process flow Diagram"/>
      <sheetName val="PFMEA"/>
      <sheetName val="ControlPlan"/>
      <sheetName val="MSA"/>
      <sheetName val="Instruction for MSA"/>
      <sheetName val="AIAG GR&amp;R"/>
      <sheetName val="Graphical Summary"/>
      <sheetName val="Numerical Summary"/>
      <sheetName val="Calculations"/>
      <sheetName val="Calculations (2)"/>
      <sheetName val="Dimensional results"/>
      <sheetName val="Material-performance test"/>
      <sheetName val="Initial Process Studies"/>
      <sheetName val="Input measurements"/>
      <sheetName val="result graph"/>
      <sheetName val="graph"/>
      <sheetName val="graph (2)"/>
      <sheetName val="graph (3)"/>
      <sheetName val="Qual. Lab. Doc."/>
      <sheetName val="Appearance approval"/>
      <sheetName val="Sample prod. part (Run@rate)"/>
      <sheetName val="Data Entry"/>
      <sheetName val="Master Sample"/>
      <sheetName val="Checking Aids"/>
      <sheetName val="Customer Specific"/>
      <sheetName val="Oth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2">
          <cell r="X12">
            <v>3</v>
          </cell>
        </row>
        <row r="13">
          <cell r="X13">
            <v>10</v>
          </cell>
        </row>
        <row r="72">
          <cell r="AR72" t="str">
            <v>Op A</v>
          </cell>
          <cell r="AS72">
            <v>13.95</v>
          </cell>
          <cell r="AT72">
            <v>13.95</v>
          </cell>
          <cell r="AU72">
            <v>13.96</v>
          </cell>
          <cell r="AV72">
            <v>13.99</v>
          </cell>
          <cell r="AW72">
            <v>13.98</v>
          </cell>
          <cell r="AX72">
            <v>13.96</v>
          </cell>
          <cell r="AY72">
            <v>13.94</v>
          </cell>
          <cell r="AZ72">
            <v>13.92</v>
          </cell>
          <cell r="BA72">
            <v>13.9</v>
          </cell>
          <cell r="BB72">
            <v>13.95</v>
          </cell>
          <cell r="BC72">
            <v>13.95</v>
          </cell>
          <cell r="BD72">
            <v>13.94</v>
          </cell>
          <cell r="BE72">
            <v>13.91</v>
          </cell>
          <cell r="BF72">
            <v>13.92</v>
          </cell>
          <cell r="BG72">
            <v>13.91</v>
          </cell>
          <cell r="BH72">
            <v>13.98</v>
          </cell>
          <cell r="BI72">
            <v>13.94</v>
          </cell>
          <cell r="BJ72">
            <v>13.95</v>
          </cell>
          <cell r="BK72">
            <v>13.95</v>
          </cell>
          <cell r="BL72">
            <v>13.95</v>
          </cell>
          <cell r="BM72">
            <v>13.96</v>
          </cell>
          <cell r="BN72">
            <v>13.96</v>
          </cell>
          <cell r="BO72">
            <v>13.96</v>
          </cell>
          <cell r="BP72">
            <v>13.95</v>
          </cell>
          <cell r="BQ72">
            <v>13.97</v>
          </cell>
          <cell r="BR72">
            <v>13.97</v>
          </cell>
          <cell r="BS72">
            <v>13.96</v>
          </cell>
          <cell r="BT72">
            <v>13.97</v>
          </cell>
          <cell r="BU72">
            <v>13.96</v>
          </cell>
          <cell r="BV72">
            <v>13.96</v>
          </cell>
          <cell r="BW72">
            <v>13.950666666666661</v>
          </cell>
        </row>
        <row r="74">
          <cell r="AF74">
            <v>13.95</v>
          </cell>
          <cell r="AG74">
            <v>13.95</v>
          </cell>
          <cell r="AH74">
            <v>13.96</v>
          </cell>
          <cell r="AI74">
            <v>13.97</v>
          </cell>
          <cell r="AJ74">
            <v>13.97</v>
          </cell>
          <cell r="AK74">
            <v>13.98</v>
          </cell>
          <cell r="AL74">
            <v>13.96</v>
          </cell>
          <cell r="AM74">
            <v>13.96</v>
          </cell>
          <cell r="AN74">
            <v>13.98</v>
          </cell>
          <cell r="AO74">
            <v>13.964444444444446</v>
          </cell>
        </row>
        <row r="84">
          <cell r="AO84">
            <v>13.953333333333333</v>
          </cell>
          <cell r="AP84">
            <v>13.973333333333334</v>
          </cell>
          <cell r="AQ84">
            <v>13.966666666666669</v>
          </cell>
        </row>
        <row r="108">
          <cell r="N108"/>
          <cell r="O108">
            <v>13.953333333333333</v>
          </cell>
          <cell r="P108" t="e">
            <v>#N/A</v>
          </cell>
          <cell r="Q108" t="e">
            <v>#N/A</v>
          </cell>
          <cell r="R108">
            <v>1.0000000000001563E-2</v>
          </cell>
          <cell r="S108" t="e">
            <v>#N/A</v>
          </cell>
          <cell r="T108" t="e">
            <v>#N/A</v>
          </cell>
          <cell r="V108">
            <v>13.955888888888891</v>
          </cell>
          <cell r="W108">
            <v>1.7666666666666882E-2</v>
          </cell>
          <cell r="X108">
            <v>13.973961888888891</v>
          </cell>
          <cell r="Y108">
            <v>13.937815888888892</v>
          </cell>
          <cell r="Z108">
            <v>4.5491666666667228E-2</v>
          </cell>
        </row>
        <row r="111">
          <cell r="AC111">
            <v>30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 Change"/>
      <sheetName val="EC_442710181970.00"/>
    </sheetNames>
    <definedNames>
      <definedName name="target" refersTo="#SKLIC!"/>
      <definedName name="targets" refersTo="#SKLIC!"/>
    </definedNames>
    <sheetDataSet>
      <sheetData sheetId="0"/>
      <sheetData sheetId="1" refreshError="1"/>
    </sheetDataSet>
  </externalBook>
</externalLink>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isar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tabSelected="1" topLeftCell="A19" zoomScaleNormal="100" zoomScaleSheetLayoutView="70" workbookViewId="0">
      <selection activeCell="N27" sqref="N27"/>
    </sheetView>
  </sheetViews>
  <sheetFormatPr defaultColWidth="11.42578125" defaultRowHeight="12.75" x14ac:dyDescent="0.2"/>
  <cols>
    <col min="1" max="1" width="12.5703125" customWidth="1"/>
    <col min="2" max="2" width="22.5703125" customWidth="1"/>
    <col min="3" max="3" width="24.7109375" customWidth="1"/>
    <col min="4" max="4" width="23.140625" customWidth="1"/>
    <col min="5" max="5" width="30.5703125" customWidth="1"/>
    <col min="6" max="7" width="7.7109375" customWidth="1"/>
    <col min="8" max="8" width="29.5703125" bestFit="1" customWidth="1"/>
    <col min="9" max="9" width="14.7109375" customWidth="1"/>
    <col min="10" max="10" width="7.7109375" customWidth="1"/>
    <col min="11" max="11" width="17.5703125" customWidth="1"/>
    <col min="12" max="13" width="7.7109375" customWidth="1"/>
    <col min="14" max="14" width="33.5703125" customWidth="1"/>
    <col min="15" max="15" width="22.7109375" customWidth="1"/>
    <col min="16" max="16" width="24.5703125" customWidth="1"/>
    <col min="17" max="20" width="7.7109375" customWidth="1"/>
  </cols>
  <sheetData>
    <row r="1" spans="1:20" ht="15" customHeight="1" thickBot="1" x14ac:dyDescent="0.25">
      <c r="A1" s="1" t="s">
        <v>0</v>
      </c>
      <c r="B1" s="2"/>
      <c r="C1" s="2"/>
      <c r="D1" s="2"/>
      <c r="E1" s="2"/>
      <c r="F1" s="2"/>
      <c r="G1" s="2"/>
      <c r="H1" s="2"/>
      <c r="I1" s="2"/>
      <c r="J1" s="2"/>
      <c r="K1" s="2"/>
      <c r="L1" s="2"/>
      <c r="M1" s="2"/>
      <c r="N1" s="2"/>
      <c r="O1" s="2"/>
      <c r="P1" s="2"/>
      <c r="Q1" s="2"/>
      <c r="R1" s="2"/>
      <c r="S1" s="2"/>
      <c r="T1" s="2"/>
    </row>
    <row r="2" spans="1:20" ht="21" thickBot="1" x14ac:dyDescent="0.35">
      <c r="A2" s="74" t="s">
        <v>1</v>
      </c>
      <c r="B2" s="75"/>
      <c r="C2" s="75"/>
      <c r="D2" s="75"/>
      <c r="E2" s="75"/>
      <c r="F2" s="75"/>
      <c r="G2" s="75"/>
      <c r="H2" s="75"/>
      <c r="I2" s="75"/>
      <c r="J2" s="75"/>
      <c r="K2" s="75"/>
      <c r="L2" s="75"/>
      <c r="M2" s="75"/>
      <c r="N2" s="75"/>
      <c r="O2" s="75"/>
      <c r="P2" s="75"/>
      <c r="Q2" s="75"/>
      <c r="R2" s="75"/>
      <c r="S2" s="75"/>
      <c r="T2" s="75"/>
    </row>
    <row r="3" spans="1:20" ht="32.25" thickBot="1" x14ac:dyDescent="0.25">
      <c r="A3" s="76" t="s">
        <v>2</v>
      </c>
      <c r="B3" s="77"/>
      <c r="C3" s="77"/>
      <c r="D3" s="77"/>
      <c r="E3" s="77"/>
      <c r="F3" s="77"/>
      <c r="G3" s="77"/>
      <c r="H3" s="77"/>
      <c r="I3" s="77"/>
      <c r="J3" s="77"/>
      <c r="K3" s="77"/>
      <c r="L3" s="77"/>
      <c r="M3" s="77"/>
      <c r="N3" s="77"/>
      <c r="O3" s="77"/>
      <c r="P3" s="77"/>
      <c r="Q3" s="77"/>
      <c r="R3" s="77"/>
      <c r="S3" s="77"/>
      <c r="T3" s="78"/>
    </row>
    <row r="4" spans="1:20" ht="15.75" x14ac:dyDescent="0.25">
      <c r="A4" s="79" t="s">
        <v>3</v>
      </c>
      <c r="B4" s="80"/>
      <c r="C4" s="81" t="s">
        <v>139</v>
      </c>
      <c r="D4" s="81"/>
      <c r="E4" s="3" t="s">
        <v>4</v>
      </c>
      <c r="F4" s="82" t="s">
        <v>5</v>
      </c>
      <c r="G4" s="83"/>
      <c r="H4" s="83"/>
      <c r="I4" s="83"/>
      <c r="J4" s="83"/>
      <c r="K4" s="83"/>
      <c r="L4" s="83"/>
      <c r="M4" s="83"/>
      <c r="N4" s="4" t="s">
        <v>6</v>
      </c>
      <c r="O4" s="84">
        <v>1</v>
      </c>
      <c r="P4" s="84"/>
      <c r="Q4" s="84"/>
      <c r="R4" s="84"/>
      <c r="S4" s="84"/>
      <c r="T4" s="85"/>
    </row>
    <row r="5" spans="1:20" ht="16.5" thickBot="1" x14ac:dyDescent="0.3">
      <c r="A5" s="79" t="s">
        <v>7</v>
      </c>
      <c r="B5" s="80"/>
      <c r="C5" s="88" t="s">
        <v>142</v>
      </c>
      <c r="D5" s="88"/>
      <c r="E5" s="5" t="s">
        <v>8</v>
      </c>
      <c r="F5" s="89">
        <v>43052</v>
      </c>
      <c r="G5" s="90"/>
      <c r="H5" s="90"/>
      <c r="I5" s="90"/>
      <c r="J5" s="90"/>
      <c r="K5" s="90"/>
      <c r="L5" s="90"/>
      <c r="M5" s="90"/>
      <c r="N5" s="6" t="s">
        <v>9</v>
      </c>
      <c r="O5" s="84" t="s">
        <v>10</v>
      </c>
      <c r="P5" s="84"/>
      <c r="Q5" s="84"/>
      <c r="R5" s="84"/>
      <c r="S5" s="84"/>
      <c r="T5" s="85"/>
    </row>
    <row r="6" spans="1:20" ht="16.5" thickBot="1" x14ac:dyDescent="0.3">
      <c r="A6" s="79" t="s">
        <v>11</v>
      </c>
      <c r="B6" s="80"/>
      <c r="C6" s="91" t="s">
        <v>12</v>
      </c>
      <c r="D6" s="92"/>
      <c r="E6" s="93"/>
      <c r="F6" s="92"/>
      <c r="G6" s="92"/>
      <c r="H6" s="92"/>
      <c r="I6" s="92"/>
      <c r="J6" s="92"/>
      <c r="K6" s="92"/>
      <c r="L6" s="92"/>
      <c r="M6" s="94"/>
      <c r="N6" s="7" t="s">
        <v>13</v>
      </c>
      <c r="O6" s="8">
        <v>43052</v>
      </c>
      <c r="P6" s="9" t="s">
        <v>14</v>
      </c>
      <c r="Q6" s="95">
        <v>43052</v>
      </c>
      <c r="R6" s="96"/>
      <c r="S6" s="96"/>
      <c r="T6" s="97"/>
    </row>
    <row r="7" spans="1:20" ht="13.5" thickBot="1" x14ac:dyDescent="0.25">
      <c r="A7" s="98" t="s">
        <v>15</v>
      </c>
      <c r="B7" s="100" t="s">
        <v>16</v>
      </c>
      <c r="C7" s="100" t="s">
        <v>17</v>
      </c>
      <c r="D7" s="102" t="s">
        <v>18</v>
      </c>
      <c r="E7" s="104" t="s">
        <v>19</v>
      </c>
      <c r="F7" s="86" t="s">
        <v>20</v>
      </c>
      <c r="G7" s="86" t="s">
        <v>21</v>
      </c>
      <c r="H7" s="100" t="s">
        <v>22</v>
      </c>
      <c r="I7" s="123" t="s">
        <v>23</v>
      </c>
      <c r="J7" s="124"/>
      <c r="K7" s="125"/>
      <c r="L7" s="126"/>
      <c r="M7" s="127" t="s">
        <v>24</v>
      </c>
      <c r="N7" s="129" t="s">
        <v>25</v>
      </c>
      <c r="O7" s="131" t="s">
        <v>26</v>
      </c>
      <c r="P7" s="106" t="s">
        <v>27</v>
      </c>
      <c r="Q7" s="106"/>
      <c r="R7" s="106"/>
      <c r="S7" s="106"/>
      <c r="T7" s="107"/>
    </row>
    <row r="8" spans="1:20" ht="60" x14ac:dyDescent="0.2">
      <c r="A8" s="99"/>
      <c r="B8" s="101"/>
      <c r="C8" s="101"/>
      <c r="D8" s="103"/>
      <c r="E8" s="105"/>
      <c r="F8" s="87"/>
      <c r="G8" s="87"/>
      <c r="H8" s="105"/>
      <c r="I8" s="10" t="s">
        <v>28</v>
      </c>
      <c r="J8" s="11" t="s">
        <v>29</v>
      </c>
      <c r="K8" s="10" t="s">
        <v>30</v>
      </c>
      <c r="L8" s="12" t="s">
        <v>31</v>
      </c>
      <c r="M8" s="128"/>
      <c r="N8" s="130"/>
      <c r="O8" s="132"/>
      <c r="P8" s="13" t="s">
        <v>32</v>
      </c>
      <c r="Q8" s="14" t="s">
        <v>20</v>
      </c>
      <c r="R8" s="14" t="s">
        <v>33</v>
      </c>
      <c r="S8" s="14" t="s">
        <v>31</v>
      </c>
      <c r="T8" s="15" t="s">
        <v>24</v>
      </c>
    </row>
    <row r="9" spans="1:20" ht="38.25" x14ac:dyDescent="0.2">
      <c r="A9" s="108" t="s">
        <v>34</v>
      </c>
      <c r="B9" s="111" t="s">
        <v>35</v>
      </c>
      <c r="C9" s="16" t="s">
        <v>36</v>
      </c>
      <c r="D9" s="17" t="s">
        <v>37</v>
      </c>
      <c r="E9" s="114" t="s">
        <v>38</v>
      </c>
      <c r="F9" s="18">
        <v>10</v>
      </c>
      <c r="G9" s="19" t="s">
        <v>39</v>
      </c>
      <c r="H9" s="20" t="s">
        <v>40</v>
      </c>
      <c r="I9" s="21" t="s">
        <v>41</v>
      </c>
      <c r="J9" s="18">
        <v>1</v>
      </c>
      <c r="K9" s="21" t="s">
        <v>42</v>
      </c>
      <c r="L9" s="18">
        <v>1</v>
      </c>
      <c r="M9" s="22">
        <f>IF(F9*J9*L9=0,"",F9*J9*L9)</f>
        <v>10</v>
      </c>
      <c r="N9" s="23"/>
      <c r="O9" s="24"/>
      <c r="P9" s="24"/>
      <c r="Q9" s="24"/>
      <c r="R9" s="24"/>
      <c r="S9" s="24"/>
      <c r="T9" s="25" t="str">
        <f>IF(Q9*R9*S9=0,"",Q9*R9*S9)</f>
        <v/>
      </c>
    </row>
    <row r="10" spans="1:20" ht="38.25" x14ac:dyDescent="0.2">
      <c r="A10" s="109"/>
      <c r="B10" s="112"/>
      <c r="C10" s="16" t="s">
        <v>43</v>
      </c>
      <c r="D10" s="26" t="s">
        <v>44</v>
      </c>
      <c r="E10" s="114"/>
      <c r="F10" s="18">
        <v>4</v>
      </c>
      <c r="G10" s="19" t="s">
        <v>39</v>
      </c>
      <c r="H10" s="20" t="s">
        <v>45</v>
      </c>
      <c r="I10" s="21" t="s">
        <v>46</v>
      </c>
      <c r="J10" s="18">
        <v>4</v>
      </c>
      <c r="K10" s="21" t="s">
        <v>47</v>
      </c>
      <c r="L10" s="18">
        <v>6</v>
      </c>
      <c r="M10" s="22">
        <f t="shared" ref="M10:M73" si="0">IF(F10*J10*L10=0,"",F10*J10*L10)</f>
        <v>96</v>
      </c>
      <c r="N10" s="27"/>
      <c r="O10" s="27"/>
      <c r="P10" s="28"/>
      <c r="Q10" s="24"/>
      <c r="R10" s="24"/>
      <c r="S10" s="24"/>
      <c r="T10" s="25" t="str">
        <f t="shared" ref="T10:T73" si="1">IF(Q10*R10*S10=0,"",Q10*R10*S10)</f>
        <v/>
      </c>
    </row>
    <row r="11" spans="1:20" ht="38.25" x14ac:dyDescent="0.2">
      <c r="A11" s="110"/>
      <c r="B11" s="113"/>
      <c r="C11" s="16" t="s">
        <v>48</v>
      </c>
      <c r="D11" s="17" t="s">
        <v>49</v>
      </c>
      <c r="E11" s="114"/>
      <c r="F11" s="18">
        <v>10</v>
      </c>
      <c r="G11" s="19" t="s">
        <v>39</v>
      </c>
      <c r="H11" s="20" t="s">
        <v>50</v>
      </c>
      <c r="I11" s="21" t="s">
        <v>51</v>
      </c>
      <c r="J11" s="18">
        <v>3</v>
      </c>
      <c r="K11" s="21" t="s">
        <v>52</v>
      </c>
      <c r="L11" s="18">
        <v>3</v>
      </c>
      <c r="M11" s="22">
        <f t="shared" si="0"/>
        <v>90</v>
      </c>
      <c r="N11" s="27"/>
      <c r="O11" s="27"/>
      <c r="P11" s="28"/>
      <c r="Q11" s="24"/>
      <c r="R11" s="24"/>
      <c r="S11" s="24"/>
      <c r="T11" s="25" t="str">
        <f t="shared" si="1"/>
        <v/>
      </c>
    </row>
    <row r="12" spans="1:20" ht="42" customHeight="1" x14ac:dyDescent="0.2">
      <c r="A12" s="115" t="s">
        <v>53</v>
      </c>
      <c r="B12" s="112" t="s">
        <v>54</v>
      </c>
      <c r="C12" s="16" t="s">
        <v>55</v>
      </c>
      <c r="D12" s="29" t="s">
        <v>56</v>
      </c>
      <c r="E12" s="117" t="s">
        <v>57</v>
      </c>
      <c r="F12" s="18">
        <v>8</v>
      </c>
      <c r="G12" s="19" t="s">
        <v>39</v>
      </c>
      <c r="H12" s="21" t="s">
        <v>58</v>
      </c>
      <c r="I12" s="21" t="s">
        <v>59</v>
      </c>
      <c r="J12" s="18">
        <v>1</v>
      </c>
      <c r="K12" s="21" t="s">
        <v>60</v>
      </c>
      <c r="L12" s="18">
        <v>2</v>
      </c>
      <c r="M12" s="22">
        <f t="shared" si="0"/>
        <v>16</v>
      </c>
      <c r="N12" s="27"/>
      <c r="O12" s="27"/>
      <c r="P12" s="28"/>
      <c r="Q12" s="24"/>
      <c r="R12" s="24"/>
      <c r="S12" s="24"/>
      <c r="T12" s="25" t="str">
        <f t="shared" si="1"/>
        <v/>
      </c>
    </row>
    <row r="13" spans="1:20" ht="75" customHeight="1" x14ac:dyDescent="0.2">
      <c r="A13" s="109"/>
      <c r="B13" s="116"/>
      <c r="C13" s="16" t="s">
        <v>61</v>
      </c>
      <c r="D13" s="29" t="s">
        <v>62</v>
      </c>
      <c r="E13" s="118"/>
      <c r="F13" s="18">
        <v>8</v>
      </c>
      <c r="G13" s="19" t="s">
        <v>39</v>
      </c>
      <c r="H13" s="21" t="s">
        <v>63</v>
      </c>
      <c r="I13" s="21" t="s">
        <v>64</v>
      </c>
      <c r="J13" s="18">
        <v>2</v>
      </c>
      <c r="K13" s="21" t="s">
        <v>60</v>
      </c>
      <c r="L13" s="18">
        <v>2</v>
      </c>
      <c r="M13" s="22">
        <f t="shared" si="0"/>
        <v>32</v>
      </c>
      <c r="N13" s="27"/>
      <c r="O13" s="27"/>
      <c r="P13" s="28"/>
      <c r="Q13" s="24"/>
      <c r="R13" s="24"/>
      <c r="S13" s="24"/>
      <c r="T13" s="25" t="str">
        <f t="shared" si="1"/>
        <v/>
      </c>
    </row>
    <row r="14" spans="1:20" ht="25.5" customHeight="1" x14ac:dyDescent="0.2">
      <c r="A14" s="109"/>
      <c r="B14" s="119" t="s">
        <v>65</v>
      </c>
      <c r="C14" s="30" t="s">
        <v>66</v>
      </c>
      <c r="D14" s="31" t="s">
        <v>67</v>
      </c>
      <c r="E14" s="120" t="s">
        <v>68</v>
      </c>
      <c r="F14" s="18">
        <v>9</v>
      </c>
      <c r="G14" s="19" t="s">
        <v>39</v>
      </c>
      <c r="H14" s="32" t="s">
        <v>69</v>
      </c>
      <c r="I14" s="21" t="s">
        <v>70</v>
      </c>
      <c r="J14" s="18">
        <v>2</v>
      </c>
      <c r="K14" s="21" t="s">
        <v>71</v>
      </c>
      <c r="L14" s="18">
        <v>3</v>
      </c>
      <c r="M14" s="22">
        <f t="shared" si="0"/>
        <v>54</v>
      </c>
      <c r="N14" s="28"/>
      <c r="O14" s="28"/>
      <c r="P14" s="33"/>
      <c r="Q14" s="24"/>
      <c r="R14" s="24"/>
      <c r="S14" s="24"/>
      <c r="T14" s="25" t="str">
        <f t="shared" si="1"/>
        <v/>
      </c>
    </row>
    <row r="15" spans="1:20" ht="38.25" x14ac:dyDescent="0.2">
      <c r="A15" s="109"/>
      <c r="B15" s="113"/>
      <c r="C15" s="30" t="s">
        <v>72</v>
      </c>
      <c r="D15" s="31" t="s">
        <v>67</v>
      </c>
      <c r="E15" s="121"/>
      <c r="F15" s="18">
        <v>6</v>
      </c>
      <c r="G15" s="19" t="s">
        <v>39</v>
      </c>
      <c r="H15" s="32" t="s">
        <v>73</v>
      </c>
      <c r="I15" s="21" t="s">
        <v>74</v>
      </c>
      <c r="J15" s="18">
        <v>1</v>
      </c>
      <c r="K15" s="21" t="s">
        <v>75</v>
      </c>
      <c r="L15" s="18">
        <v>6</v>
      </c>
      <c r="M15" s="22">
        <f t="shared" si="0"/>
        <v>36</v>
      </c>
      <c r="N15" s="28"/>
      <c r="O15" s="28"/>
      <c r="P15" s="28"/>
      <c r="Q15" s="24"/>
      <c r="R15" s="24"/>
      <c r="S15" s="24"/>
      <c r="T15" s="25" t="str">
        <f t="shared" si="1"/>
        <v/>
      </c>
    </row>
    <row r="16" spans="1:20" ht="63.75" customHeight="1" x14ac:dyDescent="0.2">
      <c r="A16" s="109"/>
      <c r="B16" s="111" t="s">
        <v>76</v>
      </c>
      <c r="C16" s="29" t="s">
        <v>77</v>
      </c>
      <c r="D16" s="29" t="s">
        <v>78</v>
      </c>
      <c r="E16" s="121"/>
      <c r="F16" s="18">
        <v>9</v>
      </c>
      <c r="G16" s="19" t="s">
        <v>39</v>
      </c>
      <c r="H16" s="117" t="s">
        <v>79</v>
      </c>
      <c r="I16" s="21" t="s">
        <v>64</v>
      </c>
      <c r="J16" s="18">
        <v>4</v>
      </c>
      <c r="K16" s="21" t="s">
        <v>80</v>
      </c>
      <c r="L16" s="18">
        <v>7</v>
      </c>
      <c r="M16" s="22">
        <f t="shared" si="0"/>
        <v>252</v>
      </c>
      <c r="N16" s="27" t="s">
        <v>81</v>
      </c>
      <c r="O16" s="27" t="s">
        <v>82</v>
      </c>
      <c r="P16" s="28"/>
      <c r="Q16" s="24">
        <v>8</v>
      </c>
      <c r="R16" s="24">
        <v>2</v>
      </c>
      <c r="S16" s="24">
        <v>1</v>
      </c>
      <c r="T16" s="25">
        <f t="shared" si="1"/>
        <v>16</v>
      </c>
    </row>
    <row r="17" spans="1:20" ht="51" x14ac:dyDescent="0.2">
      <c r="A17" s="109"/>
      <c r="B17" s="112"/>
      <c r="C17" s="30" t="s">
        <v>83</v>
      </c>
      <c r="D17" s="31" t="s">
        <v>36</v>
      </c>
      <c r="E17" s="121"/>
      <c r="F17" s="18">
        <v>9</v>
      </c>
      <c r="G17" s="19" t="s">
        <v>39</v>
      </c>
      <c r="H17" s="121"/>
      <c r="I17" s="21" t="s">
        <v>84</v>
      </c>
      <c r="J17" s="18">
        <v>3</v>
      </c>
      <c r="K17" s="21" t="s">
        <v>80</v>
      </c>
      <c r="L17" s="18">
        <v>10</v>
      </c>
      <c r="M17" s="22">
        <f t="shared" si="0"/>
        <v>270</v>
      </c>
      <c r="N17" s="27" t="s">
        <v>85</v>
      </c>
      <c r="O17" s="27" t="s">
        <v>86</v>
      </c>
      <c r="P17" s="33"/>
      <c r="Q17" s="24">
        <v>9</v>
      </c>
      <c r="R17" s="24">
        <v>3</v>
      </c>
      <c r="S17" s="24">
        <v>1</v>
      </c>
      <c r="T17" s="25">
        <f t="shared" si="1"/>
        <v>27</v>
      </c>
    </row>
    <row r="18" spans="1:20" ht="38.25" x14ac:dyDescent="0.2">
      <c r="A18" s="109"/>
      <c r="B18" s="112"/>
      <c r="C18" s="29" t="s">
        <v>87</v>
      </c>
      <c r="D18" s="29" t="s">
        <v>88</v>
      </c>
      <c r="E18" s="121"/>
      <c r="F18" s="18">
        <v>9</v>
      </c>
      <c r="G18" s="19" t="s">
        <v>39</v>
      </c>
      <c r="H18" s="121"/>
      <c r="I18" s="21" t="s">
        <v>89</v>
      </c>
      <c r="J18" s="18">
        <v>2</v>
      </c>
      <c r="K18" s="21" t="s">
        <v>80</v>
      </c>
      <c r="L18" s="18">
        <v>6</v>
      </c>
      <c r="M18" s="22">
        <f t="shared" si="0"/>
        <v>108</v>
      </c>
      <c r="N18" s="27" t="s">
        <v>90</v>
      </c>
      <c r="O18" s="27" t="s">
        <v>82</v>
      </c>
      <c r="P18" s="33"/>
      <c r="Q18" s="24">
        <v>9</v>
      </c>
      <c r="R18" s="24">
        <v>2</v>
      </c>
      <c r="S18" s="24">
        <v>1</v>
      </c>
      <c r="T18" s="25">
        <f t="shared" si="1"/>
        <v>18</v>
      </c>
    </row>
    <row r="19" spans="1:20" ht="38.25" x14ac:dyDescent="0.2">
      <c r="A19" s="110"/>
      <c r="B19" s="113"/>
      <c r="C19" s="29" t="s">
        <v>36</v>
      </c>
      <c r="D19" s="29" t="s">
        <v>88</v>
      </c>
      <c r="E19" s="122"/>
      <c r="F19" s="18">
        <v>9</v>
      </c>
      <c r="G19" s="19" t="s">
        <v>39</v>
      </c>
      <c r="H19" s="122"/>
      <c r="I19" s="21" t="s">
        <v>89</v>
      </c>
      <c r="J19" s="18">
        <v>2</v>
      </c>
      <c r="K19" s="21" t="s">
        <v>80</v>
      </c>
      <c r="L19" s="18">
        <v>7</v>
      </c>
      <c r="M19" s="22">
        <f t="shared" si="0"/>
        <v>126</v>
      </c>
      <c r="N19" s="27" t="s">
        <v>90</v>
      </c>
      <c r="O19" s="27" t="s">
        <v>82</v>
      </c>
      <c r="P19" s="33"/>
      <c r="Q19" s="24">
        <v>9</v>
      </c>
      <c r="R19" s="24">
        <v>2</v>
      </c>
      <c r="S19" s="24">
        <v>1</v>
      </c>
      <c r="T19" s="25">
        <f t="shared" si="1"/>
        <v>18</v>
      </c>
    </row>
    <row r="20" spans="1:20" ht="66.75" customHeight="1" x14ac:dyDescent="0.2">
      <c r="A20" s="133" t="s">
        <v>91</v>
      </c>
      <c r="B20" s="34" t="s">
        <v>92</v>
      </c>
      <c r="C20" s="35" t="s">
        <v>55</v>
      </c>
      <c r="D20" s="117" t="s">
        <v>93</v>
      </c>
      <c r="E20" s="117" t="s">
        <v>94</v>
      </c>
      <c r="F20" s="18">
        <v>9</v>
      </c>
      <c r="G20" s="19" t="s">
        <v>39</v>
      </c>
      <c r="H20" s="21" t="s">
        <v>58</v>
      </c>
      <c r="I20" s="21" t="s">
        <v>89</v>
      </c>
      <c r="J20" s="18">
        <v>1</v>
      </c>
      <c r="K20" s="21" t="s">
        <v>95</v>
      </c>
      <c r="L20" s="18">
        <v>8</v>
      </c>
      <c r="M20" s="22">
        <f t="shared" si="0"/>
        <v>72</v>
      </c>
      <c r="N20" s="27"/>
      <c r="O20" s="27"/>
      <c r="P20" s="33"/>
      <c r="Q20" s="24"/>
      <c r="R20" s="24"/>
      <c r="S20" s="24"/>
      <c r="T20" s="25" t="str">
        <f t="shared" si="1"/>
        <v/>
      </c>
    </row>
    <row r="21" spans="1:20" ht="39.75" customHeight="1" x14ac:dyDescent="0.2">
      <c r="A21" s="137"/>
      <c r="B21" s="34" t="s">
        <v>96</v>
      </c>
      <c r="C21" s="35" t="s">
        <v>97</v>
      </c>
      <c r="D21" s="122"/>
      <c r="E21" s="122"/>
      <c r="F21" s="18">
        <v>9</v>
      </c>
      <c r="G21" s="19" t="s">
        <v>98</v>
      </c>
      <c r="H21" s="36" t="s">
        <v>99</v>
      </c>
      <c r="I21" s="21" t="s">
        <v>100</v>
      </c>
      <c r="J21" s="18">
        <v>2</v>
      </c>
      <c r="K21" s="21" t="s">
        <v>95</v>
      </c>
      <c r="L21" s="18">
        <v>2</v>
      </c>
      <c r="M21" s="22">
        <f t="shared" si="0"/>
        <v>36</v>
      </c>
      <c r="N21" s="27"/>
      <c r="O21" s="27"/>
      <c r="P21" s="33"/>
      <c r="Q21" s="24"/>
      <c r="R21" s="24"/>
      <c r="S21" s="24"/>
      <c r="T21" s="25" t="str">
        <f t="shared" si="1"/>
        <v/>
      </c>
    </row>
    <row r="22" spans="1:20" ht="38.25" x14ac:dyDescent="0.2">
      <c r="A22" s="134"/>
      <c r="B22" s="138" t="s">
        <v>111</v>
      </c>
      <c r="C22" s="30" t="s">
        <v>112</v>
      </c>
      <c r="D22" s="29" t="s">
        <v>113</v>
      </c>
      <c r="E22" s="73" t="s">
        <v>94</v>
      </c>
      <c r="F22" s="18">
        <v>8</v>
      </c>
      <c r="G22" s="19" t="s">
        <v>39</v>
      </c>
      <c r="H22" s="32" t="s">
        <v>114</v>
      </c>
      <c r="I22" s="21" t="s">
        <v>115</v>
      </c>
      <c r="J22" s="18">
        <v>1</v>
      </c>
      <c r="K22" s="21" t="s">
        <v>116</v>
      </c>
      <c r="L22" s="18">
        <v>2</v>
      </c>
      <c r="M22" s="22">
        <f t="shared" ref="M22" si="2">IF(F22*J22*L22=0,"",F22*J22*L22)</f>
        <v>16</v>
      </c>
      <c r="N22" s="28"/>
      <c r="O22" s="28"/>
      <c r="P22" s="33"/>
      <c r="Q22" s="24"/>
      <c r="R22" s="24"/>
      <c r="S22" s="24"/>
      <c r="T22" s="25" t="str">
        <f t="shared" ref="T22" si="3">IF(Q22*R22*S22=0,"",Q22*R22*S22)</f>
        <v/>
      </c>
    </row>
    <row r="23" spans="1:20" ht="25.5" x14ac:dyDescent="0.2">
      <c r="A23" s="115" t="s">
        <v>101</v>
      </c>
      <c r="B23" s="112" t="s">
        <v>102</v>
      </c>
      <c r="C23" s="30" t="s">
        <v>103</v>
      </c>
      <c r="D23" s="31" t="s">
        <v>104</v>
      </c>
      <c r="E23" s="114" t="s">
        <v>105</v>
      </c>
      <c r="F23" s="18">
        <v>6</v>
      </c>
      <c r="G23" s="19" t="s">
        <v>39</v>
      </c>
      <c r="H23" s="37" t="s">
        <v>106</v>
      </c>
      <c r="I23" s="21" t="s">
        <v>107</v>
      </c>
      <c r="J23" s="18">
        <v>1</v>
      </c>
      <c r="K23" s="21" t="s">
        <v>80</v>
      </c>
      <c r="L23" s="18">
        <v>6</v>
      </c>
      <c r="M23" s="22">
        <f t="shared" si="0"/>
        <v>36</v>
      </c>
      <c r="N23" s="28"/>
      <c r="O23" s="28"/>
      <c r="P23" s="33"/>
      <c r="Q23" s="24"/>
      <c r="R23" s="24"/>
      <c r="S23" s="24"/>
      <c r="T23" s="25" t="str">
        <f t="shared" si="1"/>
        <v/>
      </c>
    </row>
    <row r="24" spans="1:20" ht="25.5" x14ac:dyDescent="0.2">
      <c r="A24" s="110"/>
      <c r="B24" s="116"/>
      <c r="C24" s="30" t="s">
        <v>108</v>
      </c>
      <c r="D24" s="29" t="s">
        <v>88</v>
      </c>
      <c r="E24" s="114"/>
      <c r="F24" s="18">
        <v>6</v>
      </c>
      <c r="G24" s="19" t="s">
        <v>39</v>
      </c>
      <c r="H24" s="32" t="s">
        <v>109</v>
      </c>
      <c r="I24" s="21" t="s">
        <v>110</v>
      </c>
      <c r="J24" s="18">
        <v>1</v>
      </c>
      <c r="K24" s="21" t="s">
        <v>80</v>
      </c>
      <c r="L24" s="18">
        <v>7</v>
      </c>
      <c r="M24" s="22">
        <f t="shared" si="0"/>
        <v>42</v>
      </c>
      <c r="N24" s="28"/>
      <c r="O24" s="28"/>
      <c r="P24" s="33"/>
      <c r="Q24" s="24"/>
      <c r="R24" s="24"/>
      <c r="S24" s="24"/>
      <c r="T24" s="25" t="str">
        <f t="shared" si="1"/>
        <v/>
      </c>
    </row>
    <row r="25" spans="1:20" ht="25.5" x14ac:dyDescent="0.2">
      <c r="A25" s="115" t="s">
        <v>117</v>
      </c>
      <c r="B25" s="119" t="s">
        <v>140</v>
      </c>
      <c r="C25" s="30" t="s">
        <v>72</v>
      </c>
      <c r="D25" s="31" t="s">
        <v>118</v>
      </c>
      <c r="E25" s="114" t="s">
        <v>119</v>
      </c>
      <c r="F25" s="18">
        <v>6</v>
      </c>
      <c r="G25" s="19" t="s">
        <v>39</v>
      </c>
      <c r="H25" s="32" t="s">
        <v>120</v>
      </c>
      <c r="I25" s="21" t="s">
        <v>46</v>
      </c>
      <c r="J25" s="18">
        <v>1</v>
      </c>
      <c r="K25" s="21" t="s">
        <v>80</v>
      </c>
      <c r="L25" s="18">
        <v>6</v>
      </c>
      <c r="M25" s="22">
        <f t="shared" si="0"/>
        <v>36</v>
      </c>
      <c r="N25" s="28"/>
      <c r="O25" s="28"/>
      <c r="P25" s="33"/>
      <c r="Q25" s="24"/>
      <c r="R25" s="24"/>
      <c r="S25" s="24"/>
      <c r="T25" s="25" t="str">
        <f t="shared" si="1"/>
        <v/>
      </c>
    </row>
    <row r="26" spans="1:20" ht="25.5" x14ac:dyDescent="0.2">
      <c r="A26" s="109"/>
      <c r="B26" s="112"/>
      <c r="C26" s="30" t="s">
        <v>108</v>
      </c>
      <c r="D26" s="31" t="s">
        <v>88</v>
      </c>
      <c r="E26" s="114"/>
      <c r="F26" s="18">
        <v>7</v>
      </c>
      <c r="G26" s="19" t="s">
        <v>39</v>
      </c>
      <c r="H26" s="37" t="s">
        <v>121</v>
      </c>
      <c r="I26" s="21" t="s">
        <v>122</v>
      </c>
      <c r="J26" s="18">
        <v>2</v>
      </c>
      <c r="K26" s="21" t="s">
        <v>80</v>
      </c>
      <c r="L26" s="18">
        <v>6</v>
      </c>
      <c r="M26" s="22">
        <f t="shared" si="0"/>
        <v>84</v>
      </c>
      <c r="N26" s="28"/>
      <c r="O26" s="28"/>
      <c r="P26" s="28"/>
      <c r="Q26" s="24"/>
      <c r="R26" s="24"/>
      <c r="S26" s="24"/>
      <c r="T26" s="25" t="str">
        <f t="shared" si="1"/>
        <v/>
      </c>
    </row>
    <row r="27" spans="1:20" ht="38.25" x14ac:dyDescent="0.2">
      <c r="A27" s="110"/>
      <c r="B27" s="116"/>
      <c r="C27" s="30" t="s">
        <v>141</v>
      </c>
      <c r="D27" s="31" t="s">
        <v>123</v>
      </c>
      <c r="E27" s="114"/>
      <c r="F27" s="18">
        <v>10</v>
      </c>
      <c r="G27" s="19" t="s">
        <v>39</v>
      </c>
      <c r="H27" s="32" t="s">
        <v>124</v>
      </c>
      <c r="I27" s="21" t="s">
        <v>125</v>
      </c>
      <c r="J27" s="18">
        <v>1</v>
      </c>
      <c r="K27" s="21" t="s">
        <v>126</v>
      </c>
      <c r="L27" s="18">
        <v>10</v>
      </c>
      <c r="M27" s="22">
        <f t="shared" si="0"/>
        <v>100</v>
      </c>
      <c r="N27" s="28" t="s">
        <v>143</v>
      </c>
      <c r="O27" s="28" t="s">
        <v>144</v>
      </c>
      <c r="P27" s="33"/>
      <c r="Q27" s="24">
        <v>10</v>
      </c>
      <c r="R27" s="24">
        <v>1</v>
      </c>
      <c r="S27" s="24">
        <v>1</v>
      </c>
      <c r="T27" s="25">
        <f t="shared" si="1"/>
        <v>10</v>
      </c>
    </row>
    <row r="28" spans="1:20" ht="25.5" x14ac:dyDescent="0.2">
      <c r="A28" s="135" t="s">
        <v>127</v>
      </c>
      <c r="B28" s="136" t="s">
        <v>128</v>
      </c>
      <c r="C28" s="30" t="s">
        <v>129</v>
      </c>
      <c r="D28" s="31" t="s">
        <v>130</v>
      </c>
      <c r="E28" s="114" t="s">
        <v>131</v>
      </c>
      <c r="F28" s="18">
        <v>4</v>
      </c>
      <c r="G28" s="19" t="s">
        <v>39</v>
      </c>
      <c r="H28" s="32" t="s">
        <v>132</v>
      </c>
      <c r="I28" s="21" t="s">
        <v>133</v>
      </c>
      <c r="J28" s="18">
        <v>2</v>
      </c>
      <c r="K28" s="21" t="s">
        <v>80</v>
      </c>
      <c r="L28" s="18">
        <v>6</v>
      </c>
      <c r="M28" s="22">
        <f t="shared" si="0"/>
        <v>48</v>
      </c>
      <c r="N28" s="28"/>
      <c r="O28" s="28"/>
      <c r="P28" s="33"/>
      <c r="Q28" s="24"/>
      <c r="R28" s="24"/>
      <c r="S28" s="24"/>
      <c r="T28" s="25" t="str">
        <f t="shared" si="1"/>
        <v/>
      </c>
    </row>
    <row r="29" spans="1:20" ht="25.5" x14ac:dyDescent="0.2">
      <c r="A29" s="135"/>
      <c r="B29" s="136"/>
      <c r="C29" s="30" t="s">
        <v>134</v>
      </c>
      <c r="D29" s="31" t="s">
        <v>104</v>
      </c>
      <c r="E29" s="114"/>
      <c r="F29" s="18">
        <v>5</v>
      </c>
      <c r="G29" s="19" t="s">
        <v>39</v>
      </c>
      <c r="H29" s="32" t="s">
        <v>135</v>
      </c>
      <c r="I29" s="21" t="s">
        <v>133</v>
      </c>
      <c r="J29" s="18">
        <v>2</v>
      </c>
      <c r="K29" s="21" t="s">
        <v>80</v>
      </c>
      <c r="L29" s="18">
        <v>6</v>
      </c>
      <c r="M29" s="22">
        <f t="shared" si="0"/>
        <v>60</v>
      </c>
      <c r="N29" s="28"/>
      <c r="O29" s="28"/>
      <c r="P29" s="33"/>
      <c r="Q29" s="24"/>
      <c r="R29" s="24"/>
      <c r="S29" s="24"/>
      <c r="T29" s="25" t="str">
        <f t="shared" si="1"/>
        <v/>
      </c>
    </row>
    <row r="30" spans="1:20" ht="25.5" x14ac:dyDescent="0.2">
      <c r="A30" s="135"/>
      <c r="B30" s="136"/>
      <c r="C30" s="30" t="s">
        <v>136</v>
      </c>
      <c r="D30" s="31" t="s">
        <v>137</v>
      </c>
      <c r="E30" s="114"/>
      <c r="F30" s="18">
        <v>8</v>
      </c>
      <c r="G30" s="19" t="s">
        <v>39</v>
      </c>
      <c r="H30" s="37" t="s">
        <v>138</v>
      </c>
      <c r="I30" s="21" t="s">
        <v>133</v>
      </c>
      <c r="J30" s="18">
        <v>2</v>
      </c>
      <c r="K30" s="21" t="s">
        <v>80</v>
      </c>
      <c r="L30" s="18">
        <v>6</v>
      </c>
      <c r="M30" s="22">
        <f t="shared" si="0"/>
        <v>96</v>
      </c>
      <c r="N30" s="28"/>
      <c r="O30" s="28"/>
      <c r="P30" s="28"/>
      <c r="Q30" s="24"/>
      <c r="R30" s="24"/>
      <c r="S30" s="24"/>
      <c r="T30" s="25" t="str">
        <f t="shared" si="1"/>
        <v/>
      </c>
    </row>
    <row r="31" spans="1:20" ht="15" x14ac:dyDescent="0.2">
      <c r="A31" s="38"/>
      <c r="B31" s="39"/>
      <c r="C31" s="40"/>
      <c r="D31" s="41"/>
      <c r="E31" s="42"/>
      <c r="F31" s="43"/>
      <c r="G31" s="44"/>
      <c r="H31" s="45"/>
      <c r="I31" s="46"/>
      <c r="J31" s="43"/>
      <c r="K31" s="46"/>
      <c r="L31" s="43"/>
      <c r="M31" s="22" t="str">
        <f t="shared" si="0"/>
        <v/>
      </c>
      <c r="N31" s="28"/>
      <c r="O31" s="28"/>
      <c r="P31" s="33"/>
      <c r="Q31" s="24"/>
      <c r="R31" s="24"/>
      <c r="S31" s="24"/>
      <c r="T31" s="25" t="str">
        <f t="shared" si="1"/>
        <v/>
      </c>
    </row>
    <row r="32" spans="1:20" ht="15" x14ac:dyDescent="0.2">
      <c r="A32" s="38"/>
      <c r="B32" s="39"/>
      <c r="C32" s="40"/>
      <c r="D32" s="41"/>
      <c r="E32" s="42"/>
      <c r="F32" s="43"/>
      <c r="G32" s="44"/>
      <c r="H32" s="45"/>
      <c r="I32" s="46"/>
      <c r="J32" s="43"/>
      <c r="K32" s="46"/>
      <c r="L32" s="43"/>
      <c r="M32" s="22" t="str">
        <f t="shared" si="0"/>
        <v/>
      </c>
      <c r="N32" s="28"/>
      <c r="O32" s="28"/>
      <c r="P32" s="33"/>
      <c r="Q32" s="24"/>
      <c r="R32" s="24"/>
      <c r="S32" s="24"/>
      <c r="T32" s="25" t="str">
        <f t="shared" si="1"/>
        <v/>
      </c>
    </row>
    <row r="33" spans="1:20" ht="15" x14ac:dyDescent="0.2">
      <c r="A33" s="38"/>
      <c r="B33" s="39"/>
      <c r="C33" s="40"/>
      <c r="D33" s="41"/>
      <c r="E33" s="42"/>
      <c r="F33" s="43"/>
      <c r="G33" s="44"/>
      <c r="H33" s="45"/>
      <c r="I33" s="46"/>
      <c r="J33" s="43"/>
      <c r="K33" s="46"/>
      <c r="L33" s="43"/>
      <c r="M33" s="22" t="str">
        <f t="shared" si="0"/>
        <v/>
      </c>
      <c r="N33" s="28"/>
      <c r="O33" s="28"/>
      <c r="P33" s="33"/>
      <c r="Q33" s="24"/>
      <c r="R33" s="24"/>
      <c r="S33" s="24"/>
      <c r="T33" s="25" t="str">
        <f t="shared" si="1"/>
        <v/>
      </c>
    </row>
    <row r="34" spans="1:20" ht="15" x14ac:dyDescent="0.2">
      <c r="A34" s="38"/>
      <c r="B34" s="47"/>
      <c r="C34" s="48"/>
      <c r="D34" s="41"/>
      <c r="E34" s="42"/>
      <c r="F34" s="43"/>
      <c r="G34" s="44"/>
      <c r="H34" s="42"/>
      <c r="I34" s="46"/>
      <c r="J34" s="43"/>
      <c r="K34" s="46"/>
      <c r="L34" s="43"/>
      <c r="M34" s="22" t="str">
        <f t="shared" si="0"/>
        <v/>
      </c>
      <c r="N34" s="28"/>
      <c r="O34" s="28"/>
      <c r="P34" s="33"/>
      <c r="Q34" s="24"/>
      <c r="R34" s="24"/>
      <c r="S34" s="24"/>
      <c r="T34" s="25" t="str">
        <f t="shared" si="1"/>
        <v/>
      </c>
    </row>
    <row r="35" spans="1:20" ht="15" x14ac:dyDescent="0.2">
      <c r="A35" s="38"/>
      <c r="B35" s="47"/>
      <c r="C35" s="48"/>
      <c r="D35" s="41"/>
      <c r="E35" s="42"/>
      <c r="F35" s="43"/>
      <c r="G35" s="44"/>
      <c r="H35" s="45"/>
      <c r="I35" s="46"/>
      <c r="J35" s="43"/>
      <c r="K35" s="46"/>
      <c r="L35" s="43"/>
      <c r="M35" s="22" t="str">
        <f t="shared" si="0"/>
        <v/>
      </c>
      <c r="N35" s="28"/>
      <c r="O35" s="28"/>
      <c r="P35" s="33"/>
      <c r="Q35" s="24"/>
      <c r="R35" s="24"/>
      <c r="S35" s="24"/>
      <c r="T35" s="25" t="str">
        <f t="shared" si="1"/>
        <v/>
      </c>
    </row>
    <row r="36" spans="1:20" ht="15" x14ac:dyDescent="0.2">
      <c r="A36" s="38"/>
      <c r="B36" s="49"/>
      <c r="C36" s="50"/>
      <c r="D36" s="41"/>
      <c r="E36" s="42"/>
      <c r="F36" s="43"/>
      <c r="G36" s="44"/>
      <c r="H36" s="42"/>
      <c r="I36" s="46"/>
      <c r="J36" s="43"/>
      <c r="K36" s="46"/>
      <c r="L36" s="43"/>
      <c r="M36" s="22" t="str">
        <f t="shared" si="0"/>
        <v/>
      </c>
      <c r="N36" s="28"/>
      <c r="O36" s="28"/>
      <c r="P36" s="33"/>
      <c r="Q36" s="24"/>
      <c r="R36" s="24"/>
      <c r="S36" s="24"/>
      <c r="T36" s="25" t="str">
        <f t="shared" si="1"/>
        <v/>
      </c>
    </row>
    <row r="37" spans="1:20" ht="15" x14ac:dyDescent="0.2">
      <c r="A37" s="38"/>
      <c r="B37" s="47"/>
      <c r="C37" s="48"/>
      <c r="D37" s="41"/>
      <c r="E37" s="42"/>
      <c r="F37" s="43"/>
      <c r="G37" s="44"/>
      <c r="H37" s="42"/>
      <c r="I37" s="46"/>
      <c r="J37" s="43"/>
      <c r="K37" s="46"/>
      <c r="L37" s="43"/>
      <c r="M37" s="22" t="str">
        <f t="shared" si="0"/>
        <v/>
      </c>
      <c r="N37" s="28"/>
      <c r="O37" s="28"/>
      <c r="P37" s="33"/>
      <c r="Q37" s="24"/>
      <c r="R37" s="24"/>
      <c r="S37" s="24"/>
      <c r="T37" s="25" t="str">
        <f t="shared" si="1"/>
        <v/>
      </c>
    </row>
    <row r="38" spans="1:20" ht="15" x14ac:dyDescent="0.2">
      <c r="A38" s="38"/>
      <c r="B38" s="39"/>
      <c r="C38" s="40"/>
      <c r="D38" s="41"/>
      <c r="E38" s="42"/>
      <c r="F38" s="43"/>
      <c r="G38" s="44"/>
      <c r="H38" s="42"/>
      <c r="I38" s="46"/>
      <c r="J38" s="43"/>
      <c r="K38" s="46"/>
      <c r="L38" s="43"/>
      <c r="M38" s="22" t="str">
        <f t="shared" si="0"/>
        <v/>
      </c>
      <c r="N38" s="28"/>
      <c r="O38" s="28"/>
      <c r="P38" s="33"/>
      <c r="Q38" s="24"/>
      <c r="R38" s="24"/>
      <c r="S38" s="24"/>
      <c r="T38" s="25" t="str">
        <f t="shared" si="1"/>
        <v/>
      </c>
    </row>
    <row r="39" spans="1:20" ht="15" x14ac:dyDescent="0.2">
      <c r="A39" s="38"/>
      <c r="B39" s="39"/>
      <c r="C39" s="40"/>
      <c r="D39" s="41"/>
      <c r="E39" s="42"/>
      <c r="F39" s="43"/>
      <c r="G39" s="44"/>
      <c r="H39" s="42"/>
      <c r="I39" s="46"/>
      <c r="J39" s="43"/>
      <c r="K39" s="46"/>
      <c r="L39" s="43"/>
      <c r="M39" s="22" t="str">
        <f t="shared" si="0"/>
        <v/>
      </c>
      <c r="N39" s="28"/>
      <c r="O39" s="28"/>
      <c r="P39" s="33"/>
      <c r="Q39" s="24"/>
      <c r="R39" s="24"/>
      <c r="S39" s="24"/>
      <c r="T39" s="25" t="str">
        <f t="shared" si="1"/>
        <v/>
      </c>
    </row>
    <row r="40" spans="1:20" ht="15" x14ac:dyDescent="0.2">
      <c r="A40" s="38"/>
      <c r="B40" s="39"/>
      <c r="C40" s="40"/>
      <c r="D40" s="41"/>
      <c r="E40" s="42"/>
      <c r="F40" s="43"/>
      <c r="G40" s="44"/>
      <c r="H40" s="42"/>
      <c r="I40" s="46"/>
      <c r="J40" s="43"/>
      <c r="K40" s="46"/>
      <c r="L40" s="43"/>
      <c r="M40" s="22" t="str">
        <f t="shared" si="0"/>
        <v/>
      </c>
      <c r="N40" s="28"/>
      <c r="O40" s="28"/>
      <c r="P40" s="28"/>
      <c r="Q40" s="24"/>
      <c r="R40" s="24"/>
      <c r="S40" s="24"/>
      <c r="T40" s="25" t="str">
        <f t="shared" si="1"/>
        <v/>
      </c>
    </row>
    <row r="41" spans="1:20" ht="15" x14ac:dyDescent="0.2">
      <c r="A41" s="38"/>
      <c r="B41" s="39"/>
      <c r="C41" s="40"/>
      <c r="D41" s="41"/>
      <c r="E41" s="42"/>
      <c r="F41" s="43"/>
      <c r="G41" s="44"/>
      <c r="H41" s="42"/>
      <c r="I41" s="46"/>
      <c r="J41" s="43"/>
      <c r="K41" s="46"/>
      <c r="L41" s="43"/>
      <c r="M41" s="22" t="str">
        <f t="shared" si="0"/>
        <v/>
      </c>
      <c r="N41" s="28"/>
      <c r="O41" s="28"/>
      <c r="P41" s="28"/>
      <c r="Q41" s="24"/>
      <c r="R41" s="24"/>
      <c r="S41" s="24"/>
      <c r="T41" s="25" t="str">
        <f t="shared" si="1"/>
        <v/>
      </c>
    </row>
    <row r="42" spans="1:20" ht="15" x14ac:dyDescent="0.2">
      <c r="A42" s="38"/>
      <c r="B42" s="39"/>
      <c r="C42" s="40"/>
      <c r="D42" s="41"/>
      <c r="E42" s="42"/>
      <c r="F42" s="43"/>
      <c r="G42" s="44"/>
      <c r="H42" s="42"/>
      <c r="I42" s="46"/>
      <c r="J42" s="43"/>
      <c r="K42" s="46"/>
      <c r="L42" s="43"/>
      <c r="M42" s="22" t="str">
        <f t="shared" si="0"/>
        <v/>
      </c>
      <c r="N42" s="28"/>
      <c r="O42" s="28"/>
      <c r="P42" s="33"/>
      <c r="Q42" s="24"/>
      <c r="R42" s="24"/>
      <c r="S42" s="24"/>
      <c r="T42" s="25" t="str">
        <f t="shared" si="1"/>
        <v/>
      </c>
    </row>
    <row r="43" spans="1:20" ht="15" x14ac:dyDescent="0.2">
      <c r="A43" s="38"/>
      <c r="B43" s="39"/>
      <c r="C43" s="40"/>
      <c r="D43" s="41"/>
      <c r="E43" s="42"/>
      <c r="F43" s="43"/>
      <c r="G43" s="44"/>
      <c r="H43" s="42"/>
      <c r="I43" s="46"/>
      <c r="J43" s="43"/>
      <c r="K43" s="46"/>
      <c r="L43" s="43"/>
      <c r="M43" s="22" t="str">
        <f t="shared" si="0"/>
        <v/>
      </c>
      <c r="N43" s="28"/>
      <c r="O43" s="28"/>
      <c r="P43" s="28"/>
      <c r="Q43" s="24"/>
      <c r="R43" s="24"/>
      <c r="S43" s="24"/>
      <c r="T43" s="25" t="str">
        <f t="shared" si="1"/>
        <v/>
      </c>
    </row>
    <row r="44" spans="1:20" ht="15" x14ac:dyDescent="0.2">
      <c r="A44" s="38"/>
      <c r="B44" s="39"/>
      <c r="C44" s="40"/>
      <c r="D44" s="41"/>
      <c r="E44" s="42"/>
      <c r="F44" s="43"/>
      <c r="G44" s="44"/>
      <c r="H44" s="42"/>
      <c r="I44" s="46"/>
      <c r="J44" s="43"/>
      <c r="K44" s="46"/>
      <c r="L44" s="43"/>
      <c r="M44" s="22" t="str">
        <f t="shared" si="0"/>
        <v/>
      </c>
      <c r="N44" s="28"/>
      <c r="O44" s="28"/>
      <c r="P44" s="28"/>
      <c r="Q44" s="24"/>
      <c r="R44" s="24"/>
      <c r="S44" s="24"/>
      <c r="T44" s="25" t="str">
        <f t="shared" si="1"/>
        <v/>
      </c>
    </row>
    <row r="45" spans="1:20" ht="15" x14ac:dyDescent="0.2">
      <c r="A45" s="38"/>
      <c r="B45" s="39"/>
      <c r="C45" s="40"/>
      <c r="D45" s="41"/>
      <c r="E45" s="42"/>
      <c r="F45" s="43"/>
      <c r="G45" s="44"/>
      <c r="H45" s="42"/>
      <c r="I45" s="46"/>
      <c r="J45" s="43"/>
      <c r="K45" s="46"/>
      <c r="L45" s="43"/>
      <c r="M45" s="22" t="str">
        <f t="shared" si="0"/>
        <v/>
      </c>
      <c r="N45" s="28"/>
      <c r="O45" s="28"/>
      <c r="P45" s="33"/>
      <c r="Q45" s="24"/>
      <c r="R45" s="24"/>
      <c r="S45" s="24"/>
      <c r="T45" s="25" t="str">
        <f t="shared" si="1"/>
        <v/>
      </c>
    </row>
    <row r="46" spans="1:20" ht="15" x14ac:dyDescent="0.2">
      <c r="A46" s="38"/>
      <c r="B46" s="39"/>
      <c r="C46" s="40"/>
      <c r="D46" s="41"/>
      <c r="E46" s="42"/>
      <c r="F46" s="43"/>
      <c r="G46" s="44"/>
      <c r="H46" s="42"/>
      <c r="I46" s="46"/>
      <c r="J46" s="43"/>
      <c r="K46" s="46"/>
      <c r="L46" s="43"/>
      <c r="M46" s="22" t="str">
        <f t="shared" si="0"/>
        <v/>
      </c>
      <c r="N46" s="28"/>
      <c r="O46" s="28"/>
      <c r="P46" s="28"/>
      <c r="Q46" s="24"/>
      <c r="R46" s="24"/>
      <c r="S46" s="24"/>
      <c r="T46" s="25" t="str">
        <f t="shared" si="1"/>
        <v/>
      </c>
    </row>
    <row r="47" spans="1:20" ht="15" x14ac:dyDescent="0.2">
      <c r="A47" s="38"/>
      <c r="B47" s="39"/>
      <c r="C47" s="40"/>
      <c r="D47" s="41"/>
      <c r="E47" s="42"/>
      <c r="F47" s="43"/>
      <c r="G47" s="44"/>
      <c r="H47" s="42"/>
      <c r="I47" s="46"/>
      <c r="J47" s="43"/>
      <c r="K47" s="46"/>
      <c r="L47" s="43"/>
      <c r="M47" s="22" t="str">
        <f t="shared" si="0"/>
        <v/>
      </c>
      <c r="N47" s="28"/>
      <c r="O47" s="28"/>
      <c r="P47" s="28"/>
      <c r="Q47" s="24"/>
      <c r="R47" s="24"/>
      <c r="S47" s="24"/>
      <c r="T47" s="25" t="str">
        <f t="shared" si="1"/>
        <v/>
      </c>
    </row>
    <row r="48" spans="1:20" ht="15" x14ac:dyDescent="0.2">
      <c r="A48" s="38"/>
      <c r="B48" s="39"/>
      <c r="C48" s="40"/>
      <c r="D48" s="41"/>
      <c r="E48" s="42"/>
      <c r="F48" s="43"/>
      <c r="G48" s="44"/>
      <c r="H48" s="42"/>
      <c r="I48" s="46"/>
      <c r="J48" s="43"/>
      <c r="K48" s="46"/>
      <c r="L48" s="43"/>
      <c r="M48" s="22" t="str">
        <f t="shared" si="0"/>
        <v/>
      </c>
      <c r="N48" s="28"/>
      <c r="O48" s="28"/>
      <c r="P48" s="33"/>
      <c r="Q48" s="24"/>
      <c r="R48" s="24"/>
      <c r="S48" s="24"/>
      <c r="T48" s="25" t="str">
        <f t="shared" si="1"/>
        <v/>
      </c>
    </row>
    <row r="49" spans="1:20" ht="15" x14ac:dyDescent="0.2">
      <c r="A49" s="38"/>
      <c r="B49" s="39"/>
      <c r="C49" s="40"/>
      <c r="D49" s="41"/>
      <c r="E49" s="42"/>
      <c r="F49" s="43"/>
      <c r="G49" s="44"/>
      <c r="H49" s="42"/>
      <c r="I49" s="46"/>
      <c r="J49" s="43"/>
      <c r="K49" s="46"/>
      <c r="L49" s="43"/>
      <c r="M49" s="22" t="str">
        <f t="shared" si="0"/>
        <v/>
      </c>
      <c r="N49" s="28"/>
      <c r="O49" s="28"/>
      <c r="P49" s="28"/>
      <c r="Q49" s="24"/>
      <c r="R49" s="24"/>
      <c r="S49" s="24"/>
      <c r="T49" s="25" t="str">
        <f t="shared" si="1"/>
        <v/>
      </c>
    </row>
    <row r="50" spans="1:20" ht="15" x14ac:dyDescent="0.2">
      <c r="A50" s="38"/>
      <c r="B50" s="39"/>
      <c r="C50" s="40"/>
      <c r="D50" s="41"/>
      <c r="E50" s="42"/>
      <c r="F50" s="43"/>
      <c r="G50" s="44"/>
      <c r="H50" s="42"/>
      <c r="I50" s="46"/>
      <c r="J50" s="43"/>
      <c r="K50" s="46"/>
      <c r="L50" s="43"/>
      <c r="M50" s="22" t="str">
        <f t="shared" si="0"/>
        <v/>
      </c>
      <c r="N50" s="28"/>
      <c r="O50" s="28"/>
      <c r="P50" s="33"/>
      <c r="Q50" s="24"/>
      <c r="R50" s="24"/>
      <c r="S50" s="24"/>
      <c r="T50" s="25" t="str">
        <f t="shared" si="1"/>
        <v/>
      </c>
    </row>
    <row r="51" spans="1:20" ht="15" x14ac:dyDescent="0.2">
      <c r="A51" s="38"/>
      <c r="B51" s="39"/>
      <c r="C51" s="40"/>
      <c r="D51" s="41"/>
      <c r="E51" s="42"/>
      <c r="F51" s="43"/>
      <c r="G51" s="44"/>
      <c r="H51" s="42"/>
      <c r="I51" s="46"/>
      <c r="J51" s="43"/>
      <c r="K51" s="46"/>
      <c r="L51" s="43"/>
      <c r="M51" s="22" t="str">
        <f t="shared" si="0"/>
        <v/>
      </c>
      <c r="N51" s="28"/>
      <c r="O51" s="28"/>
      <c r="P51" s="28"/>
      <c r="Q51" s="24"/>
      <c r="R51" s="24"/>
      <c r="S51" s="24"/>
      <c r="T51" s="25" t="str">
        <f t="shared" si="1"/>
        <v/>
      </c>
    </row>
    <row r="52" spans="1:20" ht="15" x14ac:dyDescent="0.2">
      <c r="A52" s="38"/>
      <c r="B52" s="39"/>
      <c r="C52" s="40"/>
      <c r="D52" s="41"/>
      <c r="E52" s="42"/>
      <c r="F52" s="43"/>
      <c r="G52" s="44"/>
      <c r="H52" s="45"/>
      <c r="I52" s="46"/>
      <c r="J52" s="43"/>
      <c r="K52" s="46"/>
      <c r="L52" s="43"/>
      <c r="M52" s="22" t="str">
        <f t="shared" si="0"/>
        <v/>
      </c>
      <c r="N52" s="28"/>
      <c r="O52" s="28"/>
      <c r="P52" s="33"/>
      <c r="Q52" s="24"/>
      <c r="R52" s="24"/>
      <c r="S52" s="24"/>
      <c r="T52" s="25" t="str">
        <f t="shared" si="1"/>
        <v/>
      </c>
    </row>
    <row r="53" spans="1:20" ht="15" x14ac:dyDescent="0.2">
      <c r="A53" s="38"/>
      <c r="B53" s="39"/>
      <c r="C53" s="40"/>
      <c r="D53" s="41"/>
      <c r="E53" s="42"/>
      <c r="F53" s="43"/>
      <c r="G53" s="44"/>
      <c r="H53" s="45"/>
      <c r="I53" s="46"/>
      <c r="J53" s="43"/>
      <c r="K53" s="46"/>
      <c r="L53" s="43"/>
      <c r="M53" s="22" t="str">
        <f t="shared" si="0"/>
        <v/>
      </c>
      <c r="N53" s="28"/>
      <c r="O53" s="28"/>
      <c r="P53" s="33"/>
      <c r="Q53" s="24"/>
      <c r="R53" s="24"/>
      <c r="S53" s="24"/>
      <c r="T53" s="25" t="str">
        <f t="shared" si="1"/>
        <v/>
      </c>
    </row>
    <row r="54" spans="1:20" ht="15" x14ac:dyDescent="0.2">
      <c r="A54" s="38"/>
      <c r="B54" s="39"/>
      <c r="C54" s="40"/>
      <c r="D54" s="41"/>
      <c r="E54" s="42"/>
      <c r="F54" s="43"/>
      <c r="G54" s="44"/>
      <c r="H54" s="45"/>
      <c r="I54" s="46"/>
      <c r="J54" s="43"/>
      <c r="K54" s="46"/>
      <c r="L54" s="43"/>
      <c r="M54" s="22" t="str">
        <f t="shared" si="0"/>
        <v/>
      </c>
      <c r="N54" s="28"/>
      <c r="O54" s="28"/>
      <c r="P54" s="33"/>
      <c r="Q54" s="24"/>
      <c r="R54" s="24"/>
      <c r="S54" s="24"/>
      <c r="T54" s="25" t="str">
        <f t="shared" si="1"/>
        <v/>
      </c>
    </row>
    <row r="55" spans="1:20" ht="15" x14ac:dyDescent="0.2">
      <c r="A55" s="38"/>
      <c r="B55" s="39"/>
      <c r="C55" s="40"/>
      <c r="D55" s="41"/>
      <c r="E55" s="42"/>
      <c r="F55" s="43"/>
      <c r="G55" s="44"/>
      <c r="H55" s="45"/>
      <c r="I55" s="46"/>
      <c r="J55" s="43"/>
      <c r="K55" s="46"/>
      <c r="L55" s="43"/>
      <c r="M55" s="22" t="str">
        <f t="shared" si="0"/>
        <v/>
      </c>
      <c r="N55" s="28"/>
      <c r="O55" s="28"/>
      <c r="P55" s="33"/>
      <c r="Q55" s="24"/>
      <c r="R55" s="24"/>
      <c r="S55" s="24"/>
      <c r="T55" s="25" t="str">
        <f t="shared" si="1"/>
        <v/>
      </c>
    </row>
    <row r="56" spans="1:20" ht="15" x14ac:dyDescent="0.2">
      <c r="A56" s="38"/>
      <c r="B56" s="39"/>
      <c r="C56" s="40"/>
      <c r="D56" s="41"/>
      <c r="E56" s="42"/>
      <c r="F56" s="43"/>
      <c r="G56" s="44"/>
      <c r="H56" s="45"/>
      <c r="I56" s="46"/>
      <c r="J56" s="43"/>
      <c r="K56" s="46"/>
      <c r="L56" s="43"/>
      <c r="M56" s="22" t="str">
        <f t="shared" si="0"/>
        <v/>
      </c>
      <c r="N56" s="28"/>
      <c r="O56" s="28"/>
      <c r="P56" s="33"/>
      <c r="Q56" s="24"/>
      <c r="R56" s="24"/>
      <c r="S56" s="24"/>
      <c r="T56" s="25" t="str">
        <f t="shared" si="1"/>
        <v/>
      </c>
    </row>
    <row r="57" spans="1:20" ht="15" x14ac:dyDescent="0.2">
      <c r="A57" s="38"/>
      <c r="B57" s="39"/>
      <c r="C57" s="40"/>
      <c r="D57" s="41"/>
      <c r="E57" s="42"/>
      <c r="F57" s="43"/>
      <c r="G57" s="44"/>
      <c r="H57" s="45"/>
      <c r="I57" s="46"/>
      <c r="J57" s="43"/>
      <c r="K57" s="46"/>
      <c r="L57" s="43"/>
      <c r="M57" s="22" t="str">
        <f t="shared" si="0"/>
        <v/>
      </c>
      <c r="N57" s="28"/>
      <c r="O57" s="28"/>
      <c r="P57" s="33"/>
      <c r="Q57" s="24"/>
      <c r="R57" s="24"/>
      <c r="S57" s="24"/>
      <c r="T57" s="25" t="str">
        <f t="shared" si="1"/>
        <v/>
      </c>
    </row>
    <row r="58" spans="1:20" ht="15" x14ac:dyDescent="0.2">
      <c r="A58" s="38"/>
      <c r="B58" s="39"/>
      <c r="C58" s="40"/>
      <c r="D58" s="41"/>
      <c r="E58" s="42"/>
      <c r="F58" s="43"/>
      <c r="G58" s="44"/>
      <c r="H58" s="45"/>
      <c r="I58" s="46"/>
      <c r="J58" s="43"/>
      <c r="K58" s="46"/>
      <c r="L58" s="43"/>
      <c r="M58" s="22" t="str">
        <f t="shared" si="0"/>
        <v/>
      </c>
      <c r="N58" s="28"/>
      <c r="O58" s="28"/>
      <c r="P58" s="33"/>
      <c r="Q58" s="24"/>
      <c r="R58" s="24"/>
      <c r="S58" s="24"/>
      <c r="T58" s="25" t="str">
        <f t="shared" si="1"/>
        <v/>
      </c>
    </row>
    <row r="59" spans="1:20" ht="15" x14ac:dyDescent="0.2">
      <c r="A59" s="38"/>
      <c r="B59" s="39"/>
      <c r="C59" s="40"/>
      <c r="D59" s="41"/>
      <c r="E59" s="42"/>
      <c r="F59" s="43"/>
      <c r="G59" s="44"/>
      <c r="H59" s="45"/>
      <c r="I59" s="46"/>
      <c r="J59" s="43"/>
      <c r="K59" s="46"/>
      <c r="L59" s="43"/>
      <c r="M59" s="22" t="str">
        <f t="shared" si="0"/>
        <v/>
      </c>
      <c r="N59" s="28"/>
      <c r="O59" s="28"/>
      <c r="P59" s="33"/>
      <c r="Q59" s="24"/>
      <c r="R59" s="24"/>
      <c r="S59" s="24"/>
      <c r="T59" s="25" t="str">
        <f t="shared" si="1"/>
        <v/>
      </c>
    </row>
    <row r="60" spans="1:20" ht="15" x14ac:dyDescent="0.2">
      <c r="A60" s="38"/>
      <c r="B60" s="39"/>
      <c r="C60" s="40"/>
      <c r="D60" s="41"/>
      <c r="E60" s="42"/>
      <c r="F60" s="43"/>
      <c r="G60" s="44"/>
      <c r="H60" s="45"/>
      <c r="I60" s="46"/>
      <c r="J60" s="43"/>
      <c r="K60" s="46"/>
      <c r="L60" s="43"/>
      <c r="M60" s="22" t="str">
        <f t="shared" si="0"/>
        <v/>
      </c>
      <c r="N60" s="28"/>
      <c r="O60" s="28"/>
      <c r="P60" s="33"/>
      <c r="Q60" s="24"/>
      <c r="R60" s="24"/>
      <c r="S60" s="24"/>
      <c r="T60" s="25" t="str">
        <f t="shared" si="1"/>
        <v/>
      </c>
    </row>
    <row r="61" spans="1:20" ht="15" x14ac:dyDescent="0.2">
      <c r="A61" s="38"/>
      <c r="B61" s="39"/>
      <c r="C61" s="40"/>
      <c r="D61" s="41"/>
      <c r="E61" s="42"/>
      <c r="F61" s="43"/>
      <c r="G61" s="44"/>
      <c r="H61" s="45"/>
      <c r="I61" s="46"/>
      <c r="J61" s="43"/>
      <c r="K61" s="46"/>
      <c r="L61" s="43"/>
      <c r="M61" s="22" t="str">
        <f t="shared" si="0"/>
        <v/>
      </c>
      <c r="N61" s="28"/>
      <c r="O61" s="28"/>
      <c r="P61" s="33"/>
      <c r="Q61" s="24"/>
      <c r="R61" s="24"/>
      <c r="S61" s="24"/>
      <c r="T61" s="25" t="str">
        <f t="shared" si="1"/>
        <v/>
      </c>
    </row>
    <row r="62" spans="1:20" ht="15" x14ac:dyDescent="0.2">
      <c r="A62" s="38"/>
      <c r="B62" s="39"/>
      <c r="C62" s="40"/>
      <c r="D62" s="41"/>
      <c r="E62" s="42"/>
      <c r="F62" s="43"/>
      <c r="G62" s="44"/>
      <c r="H62" s="45"/>
      <c r="I62" s="46"/>
      <c r="J62" s="43"/>
      <c r="K62" s="46"/>
      <c r="L62" s="43"/>
      <c r="M62" s="22" t="str">
        <f t="shared" si="0"/>
        <v/>
      </c>
      <c r="N62" s="28"/>
      <c r="O62" s="28"/>
      <c r="P62" s="33"/>
      <c r="Q62" s="24"/>
      <c r="R62" s="24"/>
      <c r="S62" s="24"/>
      <c r="T62" s="25" t="str">
        <f t="shared" si="1"/>
        <v/>
      </c>
    </row>
    <row r="63" spans="1:20" ht="15" x14ac:dyDescent="0.2">
      <c r="A63" s="38"/>
      <c r="B63" s="39"/>
      <c r="C63" s="40"/>
      <c r="D63" s="41"/>
      <c r="E63" s="42"/>
      <c r="F63" s="43"/>
      <c r="G63" s="44"/>
      <c r="H63" s="45"/>
      <c r="I63" s="46"/>
      <c r="J63" s="43"/>
      <c r="K63" s="46"/>
      <c r="L63" s="43"/>
      <c r="M63" s="22" t="str">
        <f t="shared" si="0"/>
        <v/>
      </c>
      <c r="N63" s="28"/>
      <c r="O63" s="28"/>
      <c r="P63" s="33"/>
      <c r="Q63" s="24"/>
      <c r="R63" s="24"/>
      <c r="S63" s="24"/>
      <c r="T63" s="25" t="str">
        <f t="shared" si="1"/>
        <v/>
      </c>
    </row>
    <row r="64" spans="1:20" ht="15" x14ac:dyDescent="0.2">
      <c r="A64" s="38"/>
      <c r="B64" s="39"/>
      <c r="C64" s="40"/>
      <c r="D64" s="41"/>
      <c r="E64" s="42"/>
      <c r="F64" s="43"/>
      <c r="G64" s="44"/>
      <c r="H64" s="45"/>
      <c r="I64" s="46"/>
      <c r="J64" s="43"/>
      <c r="K64" s="46"/>
      <c r="L64" s="43"/>
      <c r="M64" s="22" t="str">
        <f t="shared" si="0"/>
        <v/>
      </c>
      <c r="N64" s="28"/>
      <c r="O64" s="28"/>
      <c r="P64" s="33"/>
      <c r="Q64" s="24"/>
      <c r="R64" s="24"/>
      <c r="S64" s="24"/>
      <c r="T64" s="25" t="str">
        <f t="shared" si="1"/>
        <v/>
      </c>
    </row>
    <row r="65" spans="1:20" ht="15" x14ac:dyDescent="0.2">
      <c r="A65" s="38"/>
      <c r="B65" s="39"/>
      <c r="C65" s="40"/>
      <c r="D65" s="41"/>
      <c r="E65" s="42"/>
      <c r="F65" s="43"/>
      <c r="G65" s="44"/>
      <c r="H65" s="45"/>
      <c r="I65" s="46"/>
      <c r="J65" s="43"/>
      <c r="K65" s="46"/>
      <c r="L65" s="43"/>
      <c r="M65" s="22" t="str">
        <f t="shared" si="0"/>
        <v/>
      </c>
      <c r="N65" s="28"/>
      <c r="O65" s="28"/>
      <c r="P65" s="33"/>
      <c r="Q65" s="24"/>
      <c r="R65" s="24"/>
      <c r="S65" s="24"/>
      <c r="T65" s="25" t="str">
        <f t="shared" si="1"/>
        <v/>
      </c>
    </row>
    <row r="66" spans="1:20" ht="15" x14ac:dyDescent="0.2">
      <c r="A66" s="38"/>
      <c r="B66" s="39"/>
      <c r="C66" s="40"/>
      <c r="D66" s="41"/>
      <c r="E66" s="42"/>
      <c r="F66" s="43"/>
      <c r="G66" s="44"/>
      <c r="H66" s="45"/>
      <c r="I66" s="46"/>
      <c r="J66" s="43"/>
      <c r="K66" s="46"/>
      <c r="L66" s="43"/>
      <c r="M66" s="22" t="str">
        <f t="shared" si="0"/>
        <v/>
      </c>
      <c r="N66" s="28"/>
      <c r="O66" s="28"/>
      <c r="P66" s="33"/>
      <c r="Q66" s="24"/>
      <c r="R66" s="24"/>
      <c r="S66" s="24"/>
      <c r="T66" s="25" t="str">
        <f t="shared" si="1"/>
        <v/>
      </c>
    </row>
    <row r="67" spans="1:20" ht="15" x14ac:dyDescent="0.2">
      <c r="A67" s="38"/>
      <c r="B67" s="39"/>
      <c r="C67" s="40"/>
      <c r="D67" s="41"/>
      <c r="E67" s="42"/>
      <c r="F67" s="43"/>
      <c r="G67" s="44"/>
      <c r="H67" s="45"/>
      <c r="I67" s="46"/>
      <c r="J67" s="43"/>
      <c r="K67" s="46"/>
      <c r="L67" s="43"/>
      <c r="M67" s="22" t="str">
        <f t="shared" si="0"/>
        <v/>
      </c>
      <c r="N67" s="28"/>
      <c r="O67" s="28"/>
      <c r="P67" s="33"/>
      <c r="Q67" s="24"/>
      <c r="R67" s="24"/>
      <c r="S67" s="24"/>
      <c r="T67" s="25" t="str">
        <f t="shared" si="1"/>
        <v/>
      </c>
    </row>
    <row r="68" spans="1:20" ht="15" x14ac:dyDescent="0.2">
      <c r="A68" s="38"/>
      <c r="B68" s="39"/>
      <c r="C68" s="40"/>
      <c r="D68" s="41"/>
      <c r="E68" s="42"/>
      <c r="F68" s="43"/>
      <c r="G68" s="44"/>
      <c r="H68" s="45"/>
      <c r="I68" s="46"/>
      <c r="J68" s="43"/>
      <c r="K68" s="46"/>
      <c r="L68" s="43"/>
      <c r="M68" s="22" t="str">
        <f t="shared" si="0"/>
        <v/>
      </c>
      <c r="N68" s="28"/>
      <c r="O68" s="28"/>
      <c r="P68" s="33"/>
      <c r="Q68" s="24"/>
      <c r="R68" s="24"/>
      <c r="S68" s="24"/>
      <c r="T68" s="25" t="str">
        <f t="shared" si="1"/>
        <v/>
      </c>
    </row>
    <row r="69" spans="1:20" ht="15" x14ac:dyDescent="0.2">
      <c r="A69" s="38"/>
      <c r="B69" s="39"/>
      <c r="C69" s="40"/>
      <c r="D69" s="41"/>
      <c r="E69" s="42"/>
      <c r="F69" s="43"/>
      <c r="G69" s="44"/>
      <c r="H69" s="45"/>
      <c r="I69" s="46"/>
      <c r="J69" s="43"/>
      <c r="K69" s="46"/>
      <c r="L69" s="43"/>
      <c r="M69" s="22" t="str">
        <f t="shared" si="0"/>
        <v/>
      </c>
      <c r="N69" s="28"/>
      <c r="O69" s="28"/>
      <c r="P69" s="33"/>
      <c r="Q69" s="24"/>
      <c r="R69" s="24"/>
      <c r="S69" s="24"/>
      <c r="T69" s="25" t="str">
        <f t="shared" si="1"/>
        <v/>
      </c>
    </row>
    <row r="70" spans="1:20" ht="15" x14ac:dyDescent="0.2">
      <c r="A70" s="38"/>
      <c r="B70" s="39"/>
      <c r="C70" s="40"/>
      <c r="D70" s="41"/>
      <c r="E70" s="42"/>
      <c r="F70" s="43"/>
      <c r="G70" s="44"/>
      <c r="H70" s="45"/>
      <c r="I70" s="46"/>
      <c r="J70" s="43"/>
      <c r="K70" s="46"/>
      <c r="L70" s="43"/>
      <c r="M70" s="22" t="str">
        <f t="shared" si="0"/>
        <v/>
      </c>
      <c r="N70" s="28"/>
      <c r="O70" s="28"/>
      <c r="P70" s="33"/>
      <c r="Q70" s="24"/>
      <c r="R70" s="24"/>
      <c r="S70" s="24"/>
      <c r="T70" s="25" t="str">
        <f t="shared" si="1"/>
        <v/>
      </c>
    </row>
    <row r="71" spans="1:20" ht="15" x14ac:dyDescent="0.2">
      <c r="A71" s="38"/>
      <c r="B71" s="39"/>
      <c r="C71" s="40"/>
      <c r="D71" s="41"/>
      <c r="E71" s="42"/>
      <c r="F71" s="43"/>
      <c r="G71" s="44"/>
      <c r="H71" s="45"/>
      <c r="I71" s="46"/>
      <c r="J71" s="43"/>
      <c r="K71" s="46"/>
      <c r="L71" s="43"/>
      <c r="M71" s="22" t="str">
        <f t="shared" si="0"/>
        <v/>
      </c>
      <c r="N71" s="28"/>
      <c r="O71" s="28"/>
      <c r="P71" s="33"/>
      <c r="Q71" s="24"/>
      <c r="R71" s="24"/>
      <c r="S71" s="24"/>
      <c r="T71" s="25" t="str">
        <f t="shared" si="1"/>
        <v/>
      </c>
    </row>
    <row r="72" spans="1:20" ht="15" x14ac:dyDescent="0.2">
      <c r="A72" s="38"/>
      <c r="B72" s="39"/>
      <c r="C72" s="40"/>
      <c r="D72" s="41"/>
      <c r="E72" s="42"/>
      <c r="F72" s="43"/>
      <c r="G72" s="44"/>
      <c r="H72" s="45"/>
      <c r="I72" s="46"/>
      <c r="J72" s="43"/>
      <c r="K72" s="46"/>
      <c r="L72" s="43"/>
      <c r="M72" s="22" t="str">
        <f t="shared" si="0"/>
        <v/>
      </c>
      <c r="N72" s="28"/>
      <c r="O72" s="28"/>
      <c r="P72" s="33"/>
      <c r="Q72" s="24"/>
      <c r="R72" s="24"/>
      <c r="S72" s="24"/>
      <c r="T72" s="25" t="str">
        <f t="shared" si="1"/>
        <v/>
      </c>
    </row>
    <row r="73" spans="1:20" ht="15" x14ac:dyDescent="0.2">
      <c r="A73" s="38"/>
      <c r="B73" s="39"/>
      <c r="C73" s="40"/>
      <c r="D73" s="41"/>
      <c r="E73" s="42"/>
      <c r="F73" s="43"/>
      <c r="G73" s="44"/>
      <c r="H73" s="45"/>
      <c r="I73" s="46"/>
      <c r="J73" s="43"/>
      <c r="K73" s="46"/>
      <c r="L73" s="43"/>
      <c r="M73" s="22" t="str">
        <f t="shared" si="0"/>
        <v/>
      </c>
      <c r="N73" s="28"/>
      <c r="O73" s="28"/>
      <c r="P73" s="33"/>
      <c r="Q73" s="24"/>
      <c r="R73" s="24"/>
      <c r="S73" s="24"/>
      <c r="T73" s="25" t="str">
        <f t="shared" si="1"/>
        <v/>
      </c>
    </row>
    <row r="74" spans="1:20" ht="15" x14ac:dyDescent="0.2">
      <c r="A74" s="38"/>
      <c r="B74" s="39"/>
      <c r="C74" s="40"/>
      <c r="D74" s="41"/>
      <c r="E74" s="42"/>
      <c r="F74" s="43"/>
      <c r="G74" s="44"/>
      <c r="H74" s="45"/>
      <c r="I74" s="46"/>
      <c r="J74" s="43"/>
      <c r="K74" s="46"/>
      <c r="L74" s="43"/>
      <c r="M74" s="22" t="str">
        <f t="shared" ref="M74:M104" si="4">IF(F74*J74*L74=0,"",F74*J74*L74)</f>
        <v/>
      </c>
      <c r="N74" s="28"/>
      <c r="O74" s="28"/>
      <c r="P74" s="33"/>
      <c r="Q74" s="24"/>
      <c r="R74" s="24"/>
      <c r="S74" s="24"/>
      <c r="T74" s="25" t="str">
        <f t="shared" ref="T74:T104" si="5">IF(Q74*R74*S74=0,"",Q74*R74*S74)</f>
        <v/>
      </c>
    </row>
    <row r="75" spans="1:20" ht="15" x14ac:dyDescent="0.2">
      <c r="A75" s="38"/>
      <c r="B75" s="39"/>
      <c r="C75" s="40"/>
      <c r="D75" s="41"/>
      <c r="E75" s="42"/>
      <c r="F75" s="43"/>
      <c r="G75" s="44"/>
      <c r="H75" s="45"/>
      <c r="I75" s="46"/>
      <c r="J75" s="43"/>
      <c r="K75" s="46"/>
      <c r="L75" s="43"/>
      <c r="M75" s="22" t="str">
        <f t="shared" si="4"/>
        <v/>
      </c>
      <c r="N75" s="28"/>
      <c r="O75" s="28"/>
      <c r="P75" s="33"/>
      <c r="Q75" s="24"/>
      <c r="R75" s="24"/>
      <c r="S75" s="24"/>
      <c r="T75" s="25" t="str">
        <f t="shared" si="5"/>
        <v/>
      </c>
    </row>
    <row r="76" spans="1:20" ht="15" x14ac:dyDescent="0.2">
      <c r="A76" s="38"/>
      <c r="B76" s="39"/>
      <c r="C76" s="40"/>
      <c r="D76" s="41"/>
      <c r="E76" s="42"/>
      <c r="F76" s="43"/>
      <c r="G76" s="44"/>
      <c r="H76" s="45"/>
      <c r="I76" s="46"/>
      <c r="J76" s="43"/>
      <c r="K76" s="46"/>
      <c r="L76" s="43"/>
      <c r="M76" s="22" t="str">
        <f t="shared" si="4"/>
        <v/>
      </c>
      <c r="N76" s="28"/>
      <c r="O76" s="28"/>
      <c r="P76" s="33"/>
      <c r="Q76" s="24"/>
      <c r="R76" s="24"/>
      <c r="S76" s="24"/>
      <c r="T76" s="25" t="str">
        <f t="shared" si="5"/>
        <v/>
      </c>
    </row>
    <row r="77" spans="1:20" ht="15" x14ac:dyDescent="0.2">
      <c r="A77" s="38"/>
      <c r="B77" s="39"/>
      <c r="C77" s="40"/>
      <c r="D77" s="41"/>
      <c r="E77" s="42"/>
      <c r="F77" s="43"/>
      <c r="G77" s="44"/>
      <c r="H77" s="45"/>
      <c r="I77" s="46"/>
      <c r="J77" s="43"/>
      <c r="K77" s="46"/>
      <c r="L77" s="43"/>
      <c r="M77" s="22" t="str">
        <f t="shared" si="4"/>
        <v/>
      </c>
      <c r="N77" s="28"/>
      <c r="O77" s="28"/>
      <c r="P77" s="33"/>
      <c r="Q77" s="24"/>
      <c r="R77" s="24"/>
      <c r="S77" s="24"/>
      <c r="T77" s="25" t="str">
        <f t="shared" si="5"/>
        <v/>
      </c>
    </row>
    <row r="78" spans="1:20" ht="15" x14ac:dyDescent="0.2">
      <c r="A78" s="38"/>
      <c r="B78" s="39"/>
      <c r="C78" s="40"/>
      <c r="D78" s="41"/>
      <c r="E78" s="42"/>
      <c r="F78" s="43"/>
      <c r="G78" s="44"/>
      <c r="H78" s="45"/>
      <c r="I78" s="46"/>
      <c r="J78" s="43"/>
      <c r="K78" s="46"/>
      <c r="L78" s="43"/>
      <c r="M78" s="22" t="str">
        <f t="shared" si="4"/>
        <v/>
      </c>
      <c r="N78" s="28"/>
      <c r="O78" s="28"/>
      <c r="P78" s="33"/>
      <c r="Q78" s="24"/>
      <c r="R78" s="24"/>
      <c r="S78" s="24"/>
      <c r="T78" s="25" t="str">
        <f t="shared" si="5"/>
        <v/>
      </c>
    </row>
    <row r="79" spans="1:20" ht="15" x14ac:dyDescent="0.2">
      <c r="A79" s="38"/>
      <c r="B79" s="39"/>
      <c r="C79" s="40"/>
      <c r="D79" s="41"/>
      <c r="E79" s="42"/>
      <c r="F79" s="43"/>
      <c r="G79" s="44"/>
      <c r="H79" s="45"/>
      <c r="I79" s="46"/>
      <c r="J79" s="43"/>
      <c r="K79" s="46"/>
      <c r="L79" s="43"/>
      <c r="M79" s="22" t="str">
        <f t="shared" si="4"/>
        <v/>
      </c>
      <c r="N79" s="28"/>
      <c r="O79" s="28"/>
      <c r="P79" s="33"/>
      <c r="Q79" s="24"/>
      <c r="R79" s="24"/>
      <c r="S79" s="24"/>
      <c r="T79" s="25" t="str">
        <f t="shared" si="5"/>
        <v/>
      </c>
    </row>
    <row r="80" spans="1:20" ht="15" x14ac:dyDescent="0.2">
      <c r="A80" s="38"/>
      <c r="B80" s="39"/>
      <c r="C80" s="40"/>
      <c r="D80" s="41"/>
      <c r="E80" s="42"/>
      <c r="F80" s="43"/>
      <c r="G80" s="44"/>
      <c r="H80" s="45"/>
      <c r="I80" s="46"/>
      <c r="J80" s="43"/>
      <c r="K80" s="46"/>
      <c r="L80" s="43"/>
      <c r="M80" s="22" t="str">
        <f t="shared" si="4"/>
        <v/>
      </c>
      <c r="N80" s="28"/>
      <c r="O80" s="28"/>
      <c r="P80" s="33"/>
      <c r="Q80" s="24"/>
      <c r="R80" s="24"/>
      <c r="S80" s="24"/>
      <c r="T80" s="25" t="str">
        <f t="shared" si="5"/>
        <v/>
      </c>
    </row>
    <row r="81" spans="1:20" ht="15" x14ac:dyDescent="0.2">
      <c r="A81" s="38"/>
      <c r="B81" s="39"/>
      <c r="C81" s="40"/>
      <c r="D81" s="41"/>
      <c r="E81" s="42"/>
      <c r="F81" s="43"/>
      <c r="G81" s="44"/>
      <c r="H81" s="45"/>
      <c r="I81" s="46"/>
      <c r="J81" s="43"/>
      <c r="K81" s="46"/>
      <c r="L81" s="43"/>
      <c r="M81" s="22" t="str">
        <f t="shared" si="4"/>
        <v/>
      </c>
      <c r="N81" s="28"/>
      <c r="O81" s="28"/>
      <c r="P81" s="33"/>
      <c r="Q81" s="24"/>
      <c r="R81" s="24"/>
      <c r="S81" s="24"/>
      <c r="T81" s="25" t="str">
        <f t="shared" si="5"/>
        <v/>
      </c>
    </row>
    <row r="82" spans="1:20" ht="15" x14ac:dyDescent="0.2">
      <c r="A82" s="38"/>
      <c r="B82" s="39"/>
      <c r="C82" s="40"/>
      <c r="D82" s="41"/>
      <c r="E82" s="42"/>
      <c r="F82" s="43"/>
      <c r="G82" s="44"/>
      <c r="H82" s="45"/>
      <c r="I82" s="46"/>
      <c r="J82" s="43"/>
      <c r="K82" s="46"/>
      <c r="L82" s="43"/>
      <c r="M82" s="22" t="str">
        <f t="shared" si="4"/>
        <v/>
      </c>
      <c r="N82" s="28"/>
      <c r="O82" s="28"/>
      <c r="P82" s="33"/>
      <c r="Q82" s="24"/>
      <c r="R82" s="24"/>
      <c r="S82" s="24"/>
      <c r="T82" s="25" t="str">
        <f t="shared" si="5"/>
        <v/>
      </c>
    </row>
    <row r="83" spans="1:20" ht="15" x14ac:dyDescent="0.2">
      <c r="A83" s="38"/>
      <c r="B83" s="39"/>
      <c r="C83" s="40"/>
      <c r="D83" s="41"/>
      <c r="E83" s="42"/>
      <c r="F83" s="43"/>
      <c r="G83" s="44"/>
      <c r="H83" s="45"/>
      <c r="I83" s="46"/>
      <c r="J83" s="43"/>
      <c r="K83" s="46"/>
      <c r="L83" s="43"/>
      <c r="M83" s="22" t="str">
        <f t="shared" si="4"/>
        <v/>
      </c>
      <c r="N83" s="28"/>
      <c r="O83" s="28"/>
      <c r="P83" s="33"/>
      <c r="Q83" s="24"/>
      <c r="R83" s="24"/>
      <c r="S83" s="24"/>
      <c r="T83" s="25" t="str">
        <f t="shared" si="5"/>
        <v/>
      </c>
    </row>
    <row r="84" spans="1:20" ht="15" x14ac:dyDescent="0.2">
      <c r="A84" s="38"/>
      <c r="B84" s="39"/>
      <c r="C84" s="40"/>
      <c r="D84" s="41"/>
      <c r="E84" s="42"/>
      <c r="F84" s="43"/>
      <c r="G84" s="44"/>
      <c r="H84" s="45"/>
      <c r="I84" s="46"/>
      <c r="J84" s="43"/>
      <c r="K84" s="46"/>
      <c r="L84" s="43"/>
      <c r="M84" s="22" t="str">
        <f t="shared" si="4"/>
        <v/>
      </c>
      <c r="N84" s="28"/>
      <c r="O84" s="28"/>
      <c r="P84" s="33"/>
      <c r="Q84" s="24"/>
      <c r="R84" s="24"/>
      <c r="S84" s="24"/>
      <c r="T84" s="25" t="str">
        <f t="shared" si="5"/>
        <v/>
      </c>
    </row>
    <row r="85" spans="1:20" ht="15" x14ac:dyDescent="0.2">
      <c r="A85" s="38"/>
      <c r="B85" s="39"/>
      <c r="C85" s="40"/>
      <c r="D85" s="41"/>
      <c r="E85" s="42"/>
      <c r="F85" s="43"/>
      <c r="G85" s="44"/>
      <c r="H85" s="42"/>
      <c r="I85" s="46"/>
      <c r="J85" s="43"/>
      <c r="K85" s="46"/>
      <c r="L85" s="43"/>
      <c r="M85" s="22" t="str">
        <f t="shared" si="4"/>
        <v/>
      </c>
      <c r="N85" s="28"/>
      <c r="O85" s="28"/>
      <c r="P85" s="28"/>
      <c r="Q85" s="24"/>
      <c r="R85" s="24"/>
      <c r="S85" s="24"/>
      <c r="T85" s="25" t="str">
        <f t="shared" si="5"/>
        <v/>
      </c>
    </row>
    <row r="86" spans="1:20" ht="15" x14ac:dyDescent="0.2">
      <c r="A86" s="38"/>
      <c r="B86" s="39"/>
      <c r="C86" s="40"/>
      <c r="D86" s="41"/>
      <c r="E86" s="42"/>
      <c r="F86" s="43"/>
      <c r="G86" s="44"/>
      <c r="H86" s="42"/>
      <c r="I86" s="46"/>
      <c r="J86" s="43"/>
      <c r="K86" s="46"/>
      <c r="L86" s="43"/>
      <c r="M86" s="22" t="str">
        <f t="shared" si="4"/>
        <v/>
      </c>
      <c r="N86" s="28"/>
      <c r="O86" s="28"/>
      <c r="P86" s="33"/>
      <c r="Q86" s="24"/>
      <c r="R86" s="24"/>
      <c r="S86" s="24"/>
      <c r="T86" s="25" t="str">
        <f t="shared" si="5"/>
        <v/>
      </c>
    </row>
    <row r="87" spans="1:20" ht="15" x14ac:dyDescent="0.2">
      <c r="A87" s="38"/>
      <c r="B87" s="47"/>
      <c r="C87" s="48"/>
      <c r="D87" s="51"/>
      <c r="E87" s="52"/>
      <c r="F87" s="53"/>
      <c r="G87" s="44"/>
      <c r="H87" s="42"/>
      <c r="I87" s="46"/>
      <c r="J87" s="54"/>
      <c r="K87" s="55"/>
      <c r="L87" s="53"/>
      <c r="M87" s="22" t="str">
        <f t="shared" si="4"/>
        <v/>
      </c>
      <c r="N87" s="28"/>
      <c r="O87" s="28"/>
      <c r="P87" s="28"/>
      <c r="Q87" s="24"/>
      <c r="R87" s="24"/>
      <c r="S87" s="24"/>
      <c r="T87" s="25" t="str">
        <f t="shared" si="5"/>
        <v/>
      </c>
    </row>
    <row r="88" spans="1:20" ht="15" x14ac:dyDescent="0.2">
      <c r="A88" s="38"/>
      <c r="B88" s="47"/>
      <c r="C88" s="48"/>
      <c r="D88" s="56"/>
      <c r="E88" s="57"/>
      <c r="F88" s="54"/>
      <c r="G88" s="44"/>
      <c r="H88" s="52"/>
      <c r="I88" s="46"/>
      <c r="J88" s="54"/>
      <c r="K88" s="55"/>
      <c r="L88" s="54"/>
      <c r="M88" s="22" t="str">
        <f t="shared" si="4"/>
        <v/>
      </c>
      <c r="N88" s="28"/>
      <c r="O88" s="28"/>
      <c r="P88" s="28"/>
      <c r="Q88" s="24"/>
      <c r="R88" s="24"/>
      <c r="S88" s="24"/>
      <c r="T88" s="25" t="str">
        <f t="shared" si="5"/>
        <v/>
      </c>
    </row>
    <row r="89" spans="1:20" ht="15" x14ac:dyDescent="0.2">
      <c r="A89" s="38"/>
      <c r="B89" s="47"/>
      <c r="C89" s="48"/>
      <c r="D89" s="41"/>
      <c r="E89" s="42"/>
      <c r="F89" s="43"/>
      <c r="G89" s="44"/>
      <c r="H89" s="42"/>
      <c r="I89" s="46"/>
      <c r="J89" s="43"/>
      <c r="K89" s="46"/>
      <c r="L89" s="43"/>
      <c r="M89" s="22" t="str">
        <f t="shared" si="4"/>
        <v/>
      </c>
      <c r="N89" s="28"/>
      <c r="O89" s="28"/>
      <c r="P89" s="28"/>
      <c r="Q89" s="24"/>
      <c r="R89" s="24"/>
      <c r="S89" s="24"/>
      <c r="T89" s="25" t="str">
        <f t="shared" si="5"/>
        <v/>
      </c>
    </row>
    <row r="90" spans="1:20" ht="15" x14ac:dyDescent="0.2">
      <c r="A90" s="38"/>
      <c r="B90" s="57"/>
      <c r="C90" s="58"/>
      <c r="D90" s="41"/>
      <c r="E90" s="42"/>
      <c r="F90" s="43"/>
      <c r="G90" s="44"/>
      <c r="H90" s="45"/>
      <c r="I90" s="46"/>
      <c r="J90" s="43"/>
      <c r="K90" s="46"/>
      <c r="L90" s="43"/>
      <c r="M90" s="22" t="str">
        <f t="shared" si="4"/>
        <v/>
      </c>
      <c r="N90" s="28"/>
      <c r="O90" s="28"/>
      <c r="P90" s="28"/>
      <c r="Q90" s="24"/>
      <c r="R90" s="24"/>
      <c r="S90" s="24"/>
      <c r="T90" s="25" t="str">
        <f t="shared" si="5"/>
        <v/>
      </c>
    </row>
    <row r="91" spans="1:20" ht="15" x14ac:dyDescent="0.2">
      <c r="A91" s="38"/>
      <c r="B91" s="57"/>
      <c r="C91" s="58"/>
      <c r="D91" s="41"/>
      <c r="E91" s="42"/>
      <c r="F91" s="43"/>
      <c r="G91" s="44"/>
      <c r="H91" s="42"/>
      <c r="I91" s="46"/>
      <c r="J91" s="43"/>
      <c r="K91" s="46"/>
      <c r="L91" s="43"/>
      <c r="M91" s="22" t="str">
        <f t="shared" si="4"/>
        <v/>
      </c>
      <c r="N91" s="28"/>
      <c r="O91" s="28"/>
      <c r="P91" s="28"/>
      <c r="Q91" s="24"/>
      <c r="R91" s="24"/>
      <c r="S91" s="24"/>
      <c r="T91" s="25" t="str">
        <f t="shared" si="5"/>
        <v/>
      </c>
    </row>
    <row r="92" spans="1:20" ht="15" x14ac:dyDescent="0.2">
      <c r="A92" s="38"/>
      <c r="B92" s="57"/>
      <c r="C92" s="58"/>
      <c r="D92" s="41"/>
      <c r="E92" s="42"/>
      <c r="F92" s="43"/>
      <c r="G92" s="44"/>
      <c r="H92" s="42"/>
      <c r="I92" s="46"/>
      <c r="J92" s="43"/>
      <c r="K92" s="46"/>
      <c r="L92" s="43"/>
      <c r="M92" s="22" t="str">
        <f t="shared" si="4"/>
        <v/>
      </c>
      <c r="N92" s="28"/>
      <c r="O92" s="28"/>
      <c r="P92" s="28"/>
      <c r="Q92" s="24"/>
      <c r="R92" s="24"/>
      <c r="S92" s="24"/>
      <c r="T92" s="25" t="str">
        <f t="shared" si="5"/>
        <v/>
      </c>
    </row>
    <row r="93" spans="1:20" ht="15" x14ac:dyDescent="0.2">
      <c r="A93" s="38"/>
      <c r="B93" s="57"/>
      <c r="C93" s="58"/>
      <c r="D93" s="41"/>
      <c r="E93" s="42"/>
      <c r="F93" s="43"/>
      <c r="G93" s="44"/>
      <c r="H93" s="42"/>
      <c r="I93" s="46"/>
      <c r="J93" s="43"/>
      <c r="K93" s="46"/>
      <c r="L93" s="43"/>
      <c r="M93" s="22" t="str">
        <f t="shared" si="4"/>
        <v/>
      </c>
      <c r="N93" s="28"/>
      <c r="O93" s="28"/>
      <c r="P93" s="28"/>
      <c r="Q93" s="24"/>
      <c r="R93" s="24"/>
      <c r="S93" s="24"/>
      <c r="T93" s="25" t="str">
        <f t="shared" si="5"/>
        <v/>
      </c>
    </row>
    <row r="94" spans="1:20" ht="15" x14ac:dyDescent="0.2">
      <c r="A94" s="38"/>
      <c r="B94" s="39"/>
      <c r="C94" s="40"/>
      <c r="D94" s="41"/>
      <c r="E94" s="42"/>
      <c r="F94" s="43"/>
      <c r="G94" s="44"/>
      <c r="H94" s="45"/>
      <c r="I94" s="46"/>
      <c r="J94" s="43"/>
      <c r="K94" s="46"/>
      <c r="L94" s="43"/>
      <c r="M94" s="22" t="str">
        <f t="shared" si="4"/>
        <v/>
      </c>
      <c r="N94" s="28"/>
      <c r="O94" s="28"/>
      <c r="P94" s="33"/>
      <c r="Q94" s="24"/>
      <c r="R94" s="24"/>
      <c r="S94" s="24"/>
      <c r="T94" s="25" t="str">
        <f t="shared" si="5"/>
        <v/>
      </c>
    </row>
    <row r="95" spans="1:20" ht="15" x14ac:dyDescent="0.2">
      <c r="A95" s="38"/>
      <c r="B95" s="39"/>
      <c r="C95" s="40"/>
      <c r="D95" s="41"/>
      <c r="E95" s="42"/>
      <c r="F95" s="43"/>
      <c r="G95" s="44"/>
      <c r="H95" s="45"/>
      <c r="I95" s="46"/>
      <c r="J95" s="43"/>
      <c r="K95" s="46"/>
      <c r="L95" s="43"/>
      <c r="M95" s="22" t="str">
        <f t="shared" si="4"/>
        <v/>
      </c>
      <c r="N95" s="28"/>
      <c r="O95" s="28"/>
      <c r="P95" s="28"/>
      <c r="Q95" s="24"/>
      <c r="R95" s="24"/>
      <c r="S95" s="24"/>
      <c r="T95" s="25" t="str">
        <f t="shared" si="5"/>
        <v/>
      </c>
    </row>
    <row r="96" spans="1:20" ht="15" x14ac:dyDescent="0.2">
      <c r="A96" s="38"/>
      <c r="B96" s="39"/>
      <c r="C96" s="40"/>
      <c r="D96" s="41"/>
      <c r="E96" s="42"/>
      <c r="F96" s="43"/>
      <c r="G96" s="44"/>
      <c r="H96" s="45"/>
      <c r="I96" s="46"/>
      <c r="J96" s="43"/>
      <c r="K96" s="46"/>
      <c r="L96" s="43"/>
      <c r="M96" s="22" t="str">
        <f t="shared" si="4"/>
        <v/>
      </c>
      <c r="N96" s="28"/>
      <c r="O96" s="28"/>
      <c r="P96" s="33"/>
      <c r="Q96" s="24"/>
      <c r="R96" s="24"/>
      <c r="S96" s="24"/>
      <c r="T96" s="25" t="str">
        <f t="shared" si="5"/>
        <v/>
      </c>
    </row>
    <row r="97" spans="1:20" ht="15" x14ac:dyDescent="0.2">
      <c r="A97" s="38"/>
      <c r="B97" s="39"/>
      <c r="C97" s="40"/>
      <c r="D97" s="41"/>
      <c r="E97" s="42"/>
      <c r="F97" s="43"/>
      <c r="G97" s="44"/>
      <c r="H97" s="45"/>
      <c r="I97" s="46"/>
      <c r="J97" s="43"/>
      <c r="K97" s="46"/>
      <c r="L97" s="43"/>
      <c r="M97" s="22" t="str">
        <f t="shared" si="4"/>
        <v/>
      </c>
      <c r="N97" s="28"/>
      <c r="O97" s="28"/>
      <c r="P97" s="28"/>
      <c r="Q97" s="24"/>
      <c r="R97" s="24"/>
      <c r="S97" s="24"/>
      <c r="T97" s="25" t="str">
        <f t="shared" si="5"/>
        <v/>
      </c>
    </row>
    <row r="98" spans="1:20" ht="15" x14ac:dyDescent="0.2">
      <c r="A98" s="38"/>
      <c r="B98" s="39"/>
      <c r="C98" s="40"/>
      <c r="D98" s="41"/>
      <c r="E98" s="42"/>
      <c r="F98" s="43"/>
      <c r="G98" s="44"/>
      <c r="H98" s="45"/>
      <c r="I98" s="46"/>
      <c r="J98" s="43"/>
      <c r="K98" s="46"/>
      <c r="L98" s="43"/>
      <c r="M98" s="22" t="str">
        <f t="shared" si="4"/>
        <v/>
      </c>
      <c r="N98" s="28"/>
      <c r="O98" s="28"/>
      <c r="P98" s="33"/>
      <c r="Q98" s="24"/>
      <c r="R98" s="24"/>
      <c r="S98" s="24"/>
      <c r="T98" s="25" t="str">
        <f t="shared" si="5"/>
        <v/>
      </c>
    </row>
    <row r="99" spans="1:20" ht="15" x14ac:dyDescent="0.2">
      <c r="A99" s="38"/>
      <c r="B99" s="39"/>
      <c r="C99" s="40"/>
      <c r="D99" s="41"/>
      <c r="E99" s="42"/>
      <c r="F99" s="43"/>
      <c r="G99" s="44"/>
      <c r="H99" s="45"/>
      <c r="I99" s="46"/>
      <c r="J99" s="43"/>
      <c r="K99" s="46"/>
      <c r="L99" s="43"/>
      <c r="M99" s="22" t="str">
        <f t="shared" si="4"/>
        <v/>
      </c>
      <c r="N99" s="28"/>
      <c r="O99" s="28"/>
      <c r="P99" s="33"/>
      <c r="Q99" s="24"/>
      <c r="R99" s="24"/>
      <c r="S99" s="24"/>
      <c r="T99" s="25" t="str">
        <f t="shared" si="5"/>
        <v/>
      </c>
    </row>
    <row r="100" spans="1:20" ht="15" x14ac:dyDescent="0.2">
      <c r="A100" s="38"/>
      <c r="B100" s="59"/>
      <c r="C100" s="40"/>
      <c r="D100" s="41"/>
      <c r="E100" s="42"/>
      <c r="F100" s="43"/>
      <c r="G100" s="44"/>
      <c r="H100" s="45"/>
      <c r="I100" s="46"/>
      <c r="J100" s="43"/>
      <c r="K100" s="46"/>
      <c r="L100" s="43"/>
      <c r="M100" s="22" t="str">
        <f t="shared" si="4"/>
        <v/>
      </c>
      <c r="N100" s="28"/>
      <c r="O100" s="28"/>
      <c r="P100" s="33"/>
      <c r="Q100" s="24"/>
      <c r="R100" s="24"/>
      <c r="S100" s="24"/>
      <c r="T100" s="25" t="str">
        <f t="shared" si="5"/>
        <v/>
      </c>
    </row>
    <row r="101" spans="1:20" ht="15" x14ac:dyDescent="0.2">
      <c r="A101" s="38"/>
      <c r="B101" s="59"/>
      <c r="C101" s="40"/>
      <c r="D101" s="41"/>
      <c r="E101" s="42"/>
      <c r="F101" s="43"/>
      <c r="G101" s="44"/>
      <c r="H101" s="45"/>
      <c r="I101" s="46"/>
      <c r="J101" s="43"/>
      <c r="K101" s="46"/>
      <c r="L101" s="43"/>
      <c r="M101" s="22" t="str">
        <f t="shared" si="4"/>
        <v/>
      </c>
      <c r="N101" s="28"/>
      <c r="O101" s="28"/>
      <c r="P101" s="33"/>
      <c r="Q101" s="24"/>
      <c r="R101" s="24"/>
      <c r="S101" s="24"/>
      <c r="T101" s="25" t="str">
        <f t="shared" si="5"/>
        <v/>
      </c>
    </row>
    <row r="102" spans="1:20" ht="15" x14ac:dyDescent="0.2">
      <c r="A102" s="60"/>
      <c r="B102" s="59"/>
      <c r="C102" s="40"/>
      <c r="D102" s="41"/>
      <c r="E102" s="42"/>
      <c r="F102" s="43"/>
      <c r="G102" s="44"/>
      <c r="H102" s="45"/>
      <c r="I102" s="46"/>
      <c r="J102" s="43"/>
      <c r="K102" s="46"/>
      <c r="L102" s="43"/>
      <c r="M102" s="22" t="str">
        <f t="shared" si="4"/>
        <v/>
      </c>
      <c r="N102" s="28"/>
      <c r="O102" s="28"/>
      <c r="P102" s="33"/>
      <c r="Q102" s="24"/>
      <c r="R102" s="24"/>
      <c r="S102" s="24"/>
      <c r="T102" s="25" t="str">
        <f t="shared" si="5"/>
        <v/>
      </c>
    </row>
    <row r="103" spans="1:20" ht="15" x14ac:dyDescent="0.2">
      <c r="A103" s="60"/>
      <c r="B103" s="59"/>
      <c r="C103" s="40"/>
      <c r="D103" s="41"/>
      <c r="E103" s="42"/>
      <c r="F103" s="43"/>
      <c r="G103" s="44"/>
      <c r="H103" s="42"/>
      <c r="I103" s="46"/>
      <c r="J103" s="43"/>
      <c r="K103" s="46"/>
      <c r="L103" s="43"/>
      <c r="M103" s="22" t="str">
        <f t="shared" si="4"/>
        <v/>
      </c>
      <c r="N103" s="28"/>
      <c r="O103" s="28"/>
      <c r="P103" s="33"/>
      <c r="Q103" s="24"/>
      <c r="R103" s="24"/>
      <c r="S103" s="24"/>
      <c r="T103" s="25" t="str">
        <f t="shared" si="5"/>
        <v/>
      </c>
    </row>
    <row r="104" spans="1:20" ht="15.75" thickBot="1" x14ac:dyDescent="0.25">
      <c r="A104" s="61"/>
      <c r="B104" s="62"/>
      <c r="C104" s="63"/>
      <c r="D104" s="64"/>
      <c r="E104" s="65"/>
      <c r="F104" s="66"/>
      <c r="G104" s="67"/>
      <c r="H104" s="68"/>
      <c r="I104" s="69"/>
      <c r="J104" s="66"/>
      <c r="K104" s="69"/>
      <c r="L104" s="66"/>
      <c r="M104" s="22" t="str">
        <f t="shared" si="4"/>
        <v/>
      </c>
      <c r="N104" s="70"/>
      <c r="O104" s="70"/>
      <c r="P104" s="71"/>
      <c r="Q104" s="72"/>
      <c r="R104" s="72"/>
      <c r="S104" s="72"/>
      <c r="T104" s="25" t="str">
        <f t="shared" si="5"/>
        <v/>
      </c>
    </row>
  </sheetData>
  <mergeCells count="48">
    <mergeCell ref="A25:A27"/>
    <mergeCell ref="B25:B27"/>
    <mergeCell ref="E25:E27"/>
    <mergeCell ref="A28:A30"/>
    <mergeCell ref="B28:B30"/>
    <mergeCell ref="E28:E30"/>
    <mergeCell ref="D20:D21"/>
    <mergeCell ref="E20:E21"/>
    <mergeCell ref="A23:A24"/>
    <mergeCell ref="B23:B24"/>
    <mergeCell ref="E23:E24"/>
    <mergeCell ref="A20:A22"/>
    <mergeCell ref="I7:L7"/>
    <mergeCell ref="M7:M8"/>
    <mergeCell ref="N7:N8"/>
    <mergeCell ref="O7:O8"/>
    <mergeCell ref="H16:H19"/>
    <mergeCell ref="A9:A11"/>
    <mergeCell ref="B9:B11"/>
    <mergeCell ref="E9:E11"/>
    <mergeCell ref="A12:A19"/>
    <mergeCell ref="B12:B13"/>
    <mergeCell ref="E12:E13"/>
    <mergeCell ref="B14:B15"/>
    <mergeCell ref="E14:E19"/>
    <mergeCell ref="B16:B19"/>
    <mergeCell ref="F7:F8"/>
    <mergeCell ref="A5:B5"/>
    <mergeCell ref="C5:D5"/>
    <mergeCell ref="F5:M5"/>
    <mergeCell ref="O5:T5"/>
    <mergeCell ref="A6:B6"/>
    <mergeCell ref="C6:M6"/>
    <mergeCell ref="Q6:T6"/>
    <mergeCell ref="A7:A8"/>
    <mergeCell ref="B7:B8"/>
    <mergeCell ref="C7:C8"/>
    <mergeCell ref="D7:D8"/>
    <mergeCell ref="E7:E8"/>
    <mergeCell ref="P7:T7"/>
    <mergeCell ref="G7:G8"/>
    <mergeCell ref="H7:H8"/>
    <mergeCell ref="A2:T2"/>
    <mergeCell ref="A3:T3"/>
    <mergeCell ref="A4:B4"/>
    <mergeCell ref="C4:D4"/>
    <mergeCell ref="F4:M4"/>
    <mergeCell ref="O4:T4"/>
  </mergeCells>
  <conditionalFormatting sqref="T15 M9 M12:M15 M23:M104">
    <cfRule type="cellIs" dxfId="70" priority="71" operator="greaterThan">
      <formula>100</formula>
    </cfRule>
  </conditionalFormatting>
  <conditionalFormatting sqref="T9 T12:T15 T19:T21 T23:T104">
    <cfRule type="cellIs" dxfId="69" priority="70" operator="greaterThan">
      <formula>100</formula>
    </cfRule>
  </conditionalFormatting>
  <conditionalFormatting sqref="G31:G104">
    <cfRule type="cellIs" dxfId="68" priority="67" operator="equal">
      <formula>"VM"</formula>
    </cfRule>
    <cfRule type="cellIs" dxfId="67" priority="68" operator="equal">
      <formula>"vc"</formula>
    </cfRule>
    <cfRule type="cellIs" dxfId="66" priority="69" stopIfTrue="1" operator="equal">
      <formula>"vs"</formula>
    </cfRule>
  </conditionalFormatting>
  <conditionalFormatting sqref="G31:G104">
    <cfRule type="cellIs" dxfId="65" priority="66" operator="equal">
      <formula>"Std"</formula>
    </cfRule>
  </conditionalFormatting>
  <conditionalFormatting sqref="T40">
    <cfRule type="cellIs" dxfId="64" priority="65" operator="greaterThan">
      <formula>100</formula>
    </cfRule>
  </conditionalFormatting>
  <conditionalFormatting sqref="T46">
    <cfRule type="cellIs" dxfId="63" priority="64" operator="greaterThan">
      <formula>100</formula>
    </cfRule>
  </conditionalFormatting>
  <conditionalFormatting sqref="T47">
    <cfRule type="cellIs" dxfId="62" priority="63" operator="greaterThan">
      <formula>100</formula>
    </cfRule>
  </conditionalFormatting>
  <conditionalFormatting sqref="T44">
    <cfRule type="cellIs" dxfId="61" priority="62" operator="greaterThan">
      <formula>100</formula>
    </cfRule>
  </conditionalFormatting>
  <conditionalFormatting sqref="T49">
    <cfRule type="cellIs" dxfId="60" priority="61" operator="greaterThan">
      <formula>100</formula>
    </cfRule>
  </conditionalFormatting>
  <conditionalFormatting sqref="T51">
    <cfRule type="cellIs" dxfId="59" priority="60" operator="greaterThan">
      <formula>100</formula>
    </cfRule>
  </conditionalFormatting>
  <conditionalFormatting sqref="T85">
    <cfRule type="cellIs" dxfId="58" priority="59" operator="greaterThan">
      <formula>100</formula>
    </cfRule>
  </conditionalFormatting>
  <conditionalFormatting sqref="M9">
    <cfRule type="cellIs" dxfId="57" priority="58" operator="greaterThan">
      <formula>100</formula>
    </cfRule>
  </conditionalFormatting>
  <conditionalFormatting sqref="T41">
    <cfRule type="cellIs" dxfId="56" priority="57" operator="greaterThan">
      <formula>100</formula>
    </cfRule>
  </conditionalFormatting>
  <conditionalFormatting sqref="T43">
    <cfRule type="cellIs" dxfId="55" priority="56" operator="greaterThan">
      <formula>100</formula>
    </cfRule>
  </conditionalFormatting>
  <conditionalFormatting sqref="T9 M9 M12:M15 T12:T15 T19:T21 M23:M104 T23:T104">
    <cfRule type="cellIs" dxfId="54" priority="54" operator="lessThan">
      <formula>100</formula>
    </cfRule>
    <cfRule type="cellIs" dxfId="53" priority="55" operator="greaterThan">
      <formula>100</formula>
    </cfRule>
  </conditionalFormatting>
  <conditionalFormatting sqref="G9 G12:G15 G23:G30">
    <cfRule type="cellIs" dxfId="52" priority="50" stopIfTrue="1" operator="equal">
      <formula>"VM"</formula>
    </cfRule>
    <cfRule type="cellIs" dxfId="51" priority="51" stopIfTrue="1" operator="equal">
      <formula>"vc"</formula>
    </cfRule>
    <cfRule type="cellIs" dxfId="50" priority="52" stopIfTrue="1" operator="equal">
      <formula>"vs"</formula>
    </cfRule>
    <cfRule type="cellIs" dxfId="49" priority="53" stopIfTrue="1" operator="equal">
      <formula>"Std"</formula>
    </cfRule>
  </conditionalFormatting>
  <conditionalFormatting sqref="M11">
    <cfRule type="cellIs" dxfId="48" priority="49" operator="greaterThan">
      <formula>100</formula>
    </cfRule>
  </conditionalFormatting>
  <conditionalFormatting sqref="T11">
    <cfRule type="cellIs" dxfId="47" priority="48" operator="greaterThan">
      <formula>100</formula>
    </cfRule>
  </conditionalFormatting>
  <conditionalFormatting sqref="M11">
    <cfRule type="cellIs" dxfId="46" priority="47" operator="greaterThan">
      <formula>100</formula>
    </cfRule>
  </conditionalFormatting>
  <conditionalFormatting sqref="T11 M11">
    <cfRule type="cellIs" dxfId="45" priority="45" operator="lessThan">
      <formula>100</formula>
    </cfRule>
    <cfRule type="cellIs" dxfId="44" priority="46" operator="greaterThan">
      <formula>100</formula>
    </cfRule>
  </conditionalFormatting>
  <conditionalFormatting sqref="G11">
    <cfRule type="cellIs" dxfId="43" priority="41" stopIfTrue="1" operator="equal">
      <formula>"VM"</formula>
    </cfRule>
    <cfRule type="cellIs" dxfId="42" priority="42" stopIfTrue="1" operator="equal">
      <formula>"vc"</formula>
    </cfRule>
    <cfRule type="cellIs" dxfId="41" priority="43" stopIfTrue="1" operator="equal">
      <formula>"vs"</formula>
    </cfRule>
    <cfRule type="cellIs" dxfId="40" priority="44" stopIfTrue="1" operator="equal">
      <formula>"Std"</formula>
    </cfRule>
  </conditionalFormatting>
  <conditionalFormatting sqref="M10">
    <cfRule type="cellIs" dxfId="39" priority="40" operator="greaterThan">
      <formula>100</formula>
    </cfRule>
  </conditionalFormatting>
  <conditionalFormatting sqref="T10">
    <cfRule type="cellIs" dxfId="38" priority="39" operator="greaterThan">
      <formula>100</formula>
    </cfRule>
  </conditionalFormatting>
  <conditionalFormatting sqref="M10">
    <cfRule type="cellIs" dxfId="37" priority="38" operator="greaterThan">
      <formula>100</formula>
    </cfRule>
  </conditionalFormatting>
  <conditionalFormatting sqref="M10 T10">
    <cfRule type="cellIs" dxfId="36" priority="36" operator="lessThan">
      <formula>100</formula>
    </cfRule>
    <cfRule type="cellIs" dxfId="35" priority="37" operator="greaterThan">
      <formula>100</formula>
    </cfRule>
  </conditionalFormatting>
  <conditionalFormatting sqref="G10">
    <cfRule type="cellIs" dxfId="34" priority="32" stopIfTrue="1" operator="equal">
      <formula>"VM"</formula>
    </cfRule>
    <cfRule type="cellIs" dxfId="33" priority="33" stopIfTrue="1" operator="equal">
      <formula>"vc"</formula>
    </cfRule>
    <cfRule type="cellIs" dxfId="32" priority="34" stopIfTrue="1" operator="equal">
      <formula>"vs"</formula>
    </cfRule>
    <cfRule type="cellIs" dxfId="31" priority="35" stopIfTrue="1" operator="equal">
      <formula>"Std"</formula>
    </cfRule>
  </conditionalFormatting>
  <conditionalFormatting sqref="M18 M16">
    <cfRule type="cellIs" dxfId="30" priority="31" operator="greaterThan">
      <formula>100</formula>
    </cfRule>
  </conditionalFormatting>
  <conditionalFormatting sqref="T18 T16">
    <cfRule type="cellIs" dxfId="29" priority="30" operator="greaterThan">
      <formula>100</formula>
    </cfRule>
  </conditionalFormatting>
  <conditionalFormatting sqref="M18 T18 M16 T16">
    <cfRule type="cellIs" dxfId="28" priority="28" operator="lessThan">
      <formula>100</formula>
    </cfRule>
    <cfRule type="cellIs" dxfId="27" priority="29" operator="greaterThan">
      <formula>100</formula>
    </cfRule>
  </conditionalFormatting>
  <conditionalFormatting sqref="G18 G16">
    <cfRule type="cellIs" dxfId="26" priority="24" stopIfTrue="1" operator="equal">
      <formula>"VM"</formula>
    </cfRule>
    <cfRule type="cellIs" dxfId="25" priority="25" stopIfTrue="1" operator="equal">
      <formula>"vc"</formula>
    </cfRule>
    <cfRule type="cellIs" dxfId="24" priority="26" stopIfTrue="1" operator="equal">
      <formula>"vs"</formula>
    </cfRule>
    <cfRule type="cellIs" dxfId="23" priority="27" stopIfTrue="1" operator="equal">
      <formula>"Std"</formula>
    </cfRule>
  </conditionalFormatting>
  <conditionalFormatting sqref="M17">
    <cfRule type="cellIs" dxfId="22" priority="23" operator="greaterThan">
      <formula>100</formula>
    </cfRule>
  </conditionalFormatting>
  <conditionalFormatting sqref="T17">
    <cfRule type="cellIs" dxfId="21" priority="22" operator="greaterThan">
      <formula>100</formula>
    </cfRule>
  </conditionalFormatting>
  <conditionalFormatting sqref="M17 T17">
    <cfRule type="cellIs" dxfId="20" priority="20" operator="lessThan">
      <formula>100</formula>
    </cfRule>
    <cfRule type="cellIs" dxfId="19" priority="21" operator="greaterThan">
      <formula>100</formula>
    </cfRule>
  </conditionalFormatting>
  <conditionalFormatting sqref="G17">
    <cfRule type="cellIs" dxfId="18" priority="16" stopIfTrue="1" operator="equal">
      <formula>"VM"</formula>
    </cfRule>
    <cfRule type="cellIs" dxfId="17" priority="17" stopIfTrue="1" operator="equal">
      <formula>"vc"</formula>
    </cfRule>
    <cfRule type="cellIs" dxfId="16" priority="18" stopIfTrue="1" operator="equal">
      <formula>"vs"</formula>
    </cfRule>
    <cfRule type="cellIs" dxfId="15" priority="19" stopIfTrue="1" operator="equal">
      <formula>"Std"</formula>
    </cfRule>
  </conditionalFormatting>
  <conditionalFormatting sqref="M19:M21">
    <cfRule type="cellIs" dxfId="14" priority="15" operator="greaterThan">
      <formula>100</formula>
    </cfRule>
  </conditionalFormatting>
  <conditionalFormatting sqref="M19:M21">
    <cfRule type="cellIs" dxfId="13" priority="13" operator="lessThan">
      <formula>100</formula>
    </cfRule>
    <cfRule type="cellIs" dxfId="12" priority="14" operator="greaterThan">
      <formula>100</formula>
    </cfRule>
  </conditionalFormatting>
  <conditionalFormatting sqref="G19:G21">
    <cfRule type="cellIs" dxfId="11" priority="9" stopIfTrue="1" operator="equal">
      <formula>"VM"</formula>
    </cfRule>
    <cfRule type="cellIs" dxfId="10" priority="10" stopIfTrue="1" operator="equal">
      <formula>"vc"</formula>
    </cfRule>
    <cfRule type="cellIs" dxfId="9" priority="11" stopIfTrue="1" operator="equal">
      <formula>"vs"</formula>
    </cfRule>
    <cfRule type="cellIs" dxfId="8" priority="12" stopIfTrue="1" operator="equal">
      <formula>"Std"</formula>
    </cfRule>
  </conditionalFormatting>
  <conditionalFormatting sqref="G22">
    <cfRule type="cellIs" dxfId="7" priority="1" stopIfTrue="1" operator="equal">
      <formula>"VM"</formula>
    </cfRule>
    <cfRule type="cellIs" dxfId="6" priority="2" stopIfTrue="1" operator="equal">
      <formula>"vc"</formula>
    </cfRule>
    <cfRule type="cellIs" dxfId="5" priority="3" stopIfTrue="1" operator="equal">
      <formula>"vs"</formula>
    </cfRule>
    <cfRule type="cellIs" dxfId="4" priority="4" stopIfTrue="1" operator="equal">
      <formula>"Std"</formula>
    </cfRule>
  </conditionalFormatting>
  <conditionalFormatting sqref="M22">
    <cfRule type="cellIs" dxfId="3" priority="8" operator="greaterThan">
      <formula>100</formula>
    </cfRule>
  </conditionalFormatting>
  <conditionalFormatting sqref="T22">
    <cfRule type="cellIs" dxfId="2" priority="7" operator="greaterThan">
      <formula>100</formula>
    </cfRule>
  </conditionalFormatting>
  <conditionalFormatting sqref="M22 T22">
    <cfRule type="cellIs" dxfId="1" priority="5" operator="lessThan">
      <formula>100</formula>
    </cfRule>
    <cfRule type="cellIs" dxfId="0" priority="6" operator="greaterThan">
      <formula>100</formula>
    </cfRule>
  </conditionalFormatting>
  <hyperlinks>
    <hyperlink ref="A1" location="PSW!A1" display="Cover sheet"/>
  </hyperlinks>
  <pageMargins left="0.78740157499999996" right="0.78740157499999996" top="0.984251969" bottom="0.984251969" header="0.5" footer="0.5"/>
  <pageSetup paperSize="9" scale="26" orientation="portrait" r:id="rId1"/>
  <headerFooter alignWithMargins="0">
    <oddFooter>&amp;L&amp;F &amp;A&amp;C&amp;P / &amp;N&amp;RSQA, &amp;D &amp;T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PFMEA</vt:lpstr>
      <vt:lpstr>PFMEA!Področje_tiskanja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JanezPC</dc:creator>
  <cp:lastModifiedBy>JanezPC</cp:lastModifiedBy>
  <dcterms:created xsi:type="dcterms:W3CDTF">2017-08-17T11:05:49Z</dcterms:created>
  <dcterms:modified xsi:type="dcterms:W3CDTF">2017-11-13T10:28:57Z</dcterms:modified>
</cp:coreProperties>
</file>