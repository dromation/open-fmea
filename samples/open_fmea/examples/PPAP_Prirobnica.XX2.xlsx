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3.xml" ContentType="application/vnd.ms-excel.controlproperties+xml"/>
  <Override PartName="/xl/drawings/drawing5.xml" ContentType="application/vnd.openxmlformats-officedocument.drawing+xml"/>
  <Override PartName="/xl/ctrlProps/ctrlProp14.xml" ContentType="application/vnd.ms-excel.controlproperties+xml"/>
  <Override PartName="/xl/drawings/drawing6.xml" ContentType="application/vnd.openxmlformats-officedocument.drawing+xml"/>
  <Override PartName="/xl/ctrlProps/ctrlProp15.xml" ContentType="application/vnd.ms-excel.controlproperties+xml"/>
  <Override PartName="/xl/charts/chart1.xml" ContentType="application/vnd.openxmlformats-officedocument.drawingml.chart+xml"/>
  <Override PartName="/xl/drawings/drawing7.xml" ContentType="application/vnd.openxmlformats-officedocument.drawingml.chartshapes+xml"/>
  <Override PartName="/xl/charts/chart2.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ate1904="1" codeName="ThisWorkbook"/>
  <mc:AlternateContent xmlns:mc="http://schemas.openxmlformats.org/markup-compatibility/2006">
    <mc:Choice Requires="x15">
      <x15ac:absPath xmlns:x15ac="http://schemas.microsoft.com/office/spreadsheetml/2010/11/ac" url="C:\JanezJurancic\HOBOTNICA\KUPCI\GORENJE\"/>
    </mc:Choice>
  </mc:AlternateContent>
  <bookViews>
    <workbookView xWindow="-15" yWindow="-15" windowWidth="9720" windowHeight="3300" activeTab="2"/>
  </bookViews>
  <sheets>
    <sheet name="Articles" sheetId="14" r:id="rId1"/>
    <sheet name="PFC" sheetId="7" r:id="rId2"/>
    <sheet name="PFC_tabele" sheetId="13" r:id="rId3"/>
    <sheet name="Prepare FMEA" sheetId="4" r:id="rId4"/>
    <sheet name="FMEA_tabele" sheetId="11" r:id="rId5"/>
    <sheet name="FMEA" sheetId="1" r:id="rId6"/>
    <sheet name="Data-Drawings-Pictures" sheetId="3" r:id="rId7"/>
    <sheet name="Histogram" sheetId="5" r:id="rId8"/>
    <sheet name="QP" sheetId="9" r:id="rId9"/>
    <sheet name="QP_tabele" sheetId="12" r:id="rId10"/>
  </sheets>
  <externalReferences>
    <externalReference r:id="rId11"/>
  </externalReferences>
  <definedNames>
    <definedName name="__EdFJsKAA" localSheetId="5" hidden="1">FMEA!nySidomall</definedName>
    <definedName name="__EdFJsKBA" localSheetId="5" hidden="1">[1]!fmea_utskrift</definedName>
    <definedName name="_RPN1">FMEA!$K$8:$K$227</definedName>
    <definedName name="_RPN2">FMEA!$S$8:$S$227</definedName>
    <definedName name="_sev1">FMEA!$I$8:$I$227</definedName>
    <definedName name="_sev2">FMEA!$Q$8:$Q$227</definedName>
    <definedName name="addAtt">#REF!</definedName>
    <definedName name="addRes">#REF!</definedName>
    <definedName name="addRPN">#REF!</definedName>
    <definedName name="addRPNline">#REF!</definedName>
    <definedName name="addSev">#REF!</definedName>
    <definedName name="addSevline">#REF!</definedName>
    <definedName name="Complete">FMEA!$A$8:$T$48</definedName>
    <definedName name="evaluation">'Data-Drawings-Pictures'!$A$14:$H$14</definedName>
    <definedName name="Histogram_data">Histogram!$AC$1:$AK$9</definedName>
    <definedName name="inputdata">'Data-Drawings-Pictures'!$A$2</definedName>
    <definedName name="Nr__No">FMEA!$A$8:$A$48</definedName>
    <definedName name="_xlnm.Print_Area" localSheetId="5">FMEA!$A$1:$U$49</definedName>
    <definedName name="_xlnm.Print_Area" localSheetId="7">Histogram!$A$1:$P$44</definedName>
    <definedName name="_xlnm.Criteria">FMEA!$2:$2</definedName>
    <definedName name="_xlnm.Print_Titles" localSheetId="5">FMEA!$6:$7</definedName>
    <definedName name="TopFMEA">FMEA!$A$3</definedName>
  </definedNames>
  <calcPr calcId="162913"/>
</workbook>
</file>

<file path=xl/calcChain.xml><?xml version="1.0" encoding="utf-8"?>
<calcChain xmlns="http://schemas.openxmlformats.org/spreadsheetml/2006/main">
  <c r="H5" i="11" l="1"/>
  <c r="H22" i="11"/>
  <c r="A22" i="11"/>
  <c r="H30" i="11"/>
  <c r="H17" i="11"/>
  <c r="H14" i="11"/>
  <c r="H15" i="11" s="1"/>
  <c r="H11" i="11"/>
  <c r="H8" i="11"/>
  <c r="H9" i="11" s="1"/>
  <c r="A17" i="11"/>
  <c r="A14" i="11"/>
  <c r="A15" i="11" s="1"/>
  <c r="A71" i="11"/>
  <c r="A72" i="11" s="1"/>
  <c r="A58" i="11" l="1"/>
  <c r="A59" i="11" s="1"/>
  <c r="A42" i="11"/>
  <c r="A38" i="11"/>
  <c r="A35" i="11"/>
  <c r="A30" i="11"/>
  <c r="A26" i="11"/>
  <c r="A11" i="11"/>
  <c r="A8" i="11"/>
  <c r="A9" i="11" s="1"/>
  <c r="A4" i="11"/>
  <c r="A5" i="11" s="1"/>
  <c r="A17" i="1" l="1"/>
  <c r="A15" i="1"/>
  <c r="A12" i="1"/>
  <c r="A13" i="1" s="1"/>
  <c r="A9" i="1"/>
  <c r="A10" i="1" s="1"/>
  <c r="U22" i="1" l="1"/>
  <c r="V22" i="1" s="1"/>
  <c r="K8" i="1"/>
  <c r="U8" i="1" s="1"/>
  <c r="V8" i="1" s="1"/>
  <c r="S9" i="1"/>
  <c r="AF5" i="5" s="1"/>
  <c r="S10" i="1"/>
  <c r="S11" i="1"/>
  <c r="S12" i="1"/>
  <c r="W12" i="1" s="1"/>
  <c r="S13" i="1"/>
  <c r="S14" i="1"/>
  <c r="S15" i="1"/>
  <c r="S16" i="1"/>
  <c r="W16" i="1" s="1"/>
  <c r="S17" i="1"/>
  <c r="S18" i="1"/>
  <c r="S19" i="1"/>
  <c r="S20" i="1"/>
  <c r="Y20" i="1" s="1"/>
  <c r="S21" i="1"/>
  <c r="S22" i="1"/>
  <c r="S23" i="1"/>
  <c r="W23" i="1" s="1"/>
  <c r="S24" i="1"/>
  <c r="S25" i="1"/>
  <c r="S26" i="1"/>
  <c r="S27" i="1"/>
  <c r="X27" i="1" s="1"/>
  <c r="S28" i="1"/>
  <c r="S29" i="1"/>
  <c r="S30" i="1"/>
  <c r="W30" i="1" s="1"/>
  <c r="S31" i="1"/>
  <c r="S32" i="1"/>
  <c r="S33" i="1"/>
  <c r="S34" i="1"/>
  <c r="W34" i="1" s="1"/>
  <c r="S35" i="1"/>
  <c r="S36" i="1"/>
  <c r="Y36" i="1" s="1"/>
  <c r="S37" i="1"/>
  <c r="X37" i="1" s="1"/>
  <c r="S38" i="1"/>
  <c r="S39" i="1"/>
  <c r="S40" i="1"/>
  <c r="S41" i="1"/>
  <c r="Y41" i="1" s="1"/>
  <c r="S42" i="1"/>
  <c r="S43" i="1"/>
  <c r="S44" i="1"/>
  <c r="X44" i="1" s="1"/>
  <c r="S45" i="1"/>
  <c r="S46" i="1"/>
  <c r="S47" i="1"/>
  <c r="S48" i="1"/>
  <c r="W48" i="1" s="1"/>
  <c r="X30" i="1"/>
  <c r="K10" i="1"/>
  <c r="U10" i="1" s="1"/>
  <c r="K9" i="1"/>
  <c r="U9" i="1" s="1"/>
  <c r="V9" i="1" s="1"/>
  <c r="S8" i="1"/>
  <c r="Y8" i="1" s="1"/>
  <c r="K11" i="1"/>
  <c r="W11" i="1" s="1"/>
  <c r="K12" i="1"/>
  <c r="K13" i="1"/>
  <c r="K14" i="1"/>
  <c r="U14" i="1" s="1"/>
  <c r="V14" i="1" s="1"/>
  <c r="K15" i="1"/>
  <c r="U15" i="1"/>
  <c r="V15" i="1" s="1"/>
  <c r="K16" i="1"/>
  <c r="U16" i="1" s="1"/>
  <c r="V16" i="1" s="1"/>
  <c r="K17" i="1"/>
  <c r="X17" i="1" s="1"/>
  <c r="K18" i="1"/>
  <c r="U18" i="1" s="1"/>
  <c r="V18" i="1" s="1"/>
  <c r="K19" i="1"/>
  <c r="Y19" i="1" s="1"/>
  <c r="K20" i="1"/>
  <c r="U20" i="1" s="1"/>
  <c r="V20" i="1" s="1"/>
  <c r="K21" i="1"/>
  <c r="Y21" i="1" s="1"/>
  <c r="K22" i="1"/>
  <c r="W22" i="1" s="1"/>
  <c r="K23" i="1"/>
  <c r="K24" i="1"/>
  <c r="U24" i="1" s="1"/>
  <c r="V24" i="1" s="1"/>
  <c r="K25" i="1"/>
  <c r="U25" i="1" s="1"/>
  <c r="V25" i="1" s="1"/>
  <c r="K26" i="1"/>
  <c r="U26" i="1" s="1"/>
  <c r="V26" i="1" s="1"/>
  <c r="K27" i="1"/>
  <c r="K28" i="1"/>
  <c r="X28" i="1" s="1"/>
  <c r="K29" i="1"/>
  <c r="X29" i="1" s="1"/>
  <c r="K30" i="1"/>
  <c r="U30" i="1" s="1"/>
  <c r="V30" i="1" s="1"/>
  <c r="K31" i="1"/>
  <c r="K32" i="1"/>
  <c r="U32" i="1" s="1"/>
  <c r="V32" i="1" s="1"/>
  <c r="K33" i="1"/>
  <c r="X33" i="1" s="1"/>
  <c r="K34" i="1"/>
  <c r="U34" i="1" s="1"/>
  <c r="V34" i="1" s="1"/>
  <c r="K35" i="1"/>
  <c r="K36" i="1"/>
  <c r="U36" i="1" s="1"/>
  <c r="V36" i="1" s="1"/>
  <c r="K37" i="1"/>
  <c r="K38" i="1"/>
  <c r="U38" i="1" s="1"/>
  <c r="V38" i="1" s="1"/>
  <c r="K39" i="1"/>
  <c r="K40" i="1"/>
  <c r="U40" i="1" s="1"/>
  <c r="V40" i="1" s="1"/>
  <c r="K41" i="1"/>
  <c r="U41" i="1" s="1"/>
  <c r="V41" i="1" s="1"/>
  <c r="K42" i="1"/>
  <c r="U42" i="1" s="1"/>
  <c r="V42" i="1" s="1"/>
  <c r="K43" i="1"/>
  <c r="K44" i="1"/>
  <c r="U44" i="1" s="1"/>
  <c r="V44" i="1" s="1"/>
  <c r="K45" i="1"/>
  <c r="X45" i="1" s="1"/>
  <c r="K46" i="1"/>
  <c r="U46" i="1" s="1"/>
  <c r="V46" i="1" s="1"/>
  <c r="K47" i="1"/>
  <c r="K48" i="1"/>
  <c r="U48" i="1" s="1"/>
  <c r="V48" i="1" s="1"/>
  <c r="AD9" i="5"/>
  <c r="AE9" i="5"/>
  <c r="AF9" i="5"/>
  <c r="AD8" i="5"/>
  <c r="AE8" i="5"/>
  <c r="AF8" i="5"/>
  <c r="E5" i="1"/>
  <c r="A23" i="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U45" i="1"/>
  <c r="V45" i="1" s="1"/>
  <c r="U29" i="1"/>
  <c r="V29" i="1" s="1"/>
  <c r="Y25" i="1"/>
  <c r="W25" i="1"/>
  <c r="X21" i="1"/>
  <c r="U17" i="1"/>
  <c r="V17" i="1" s="1"/>
  <c r="U13" i="1"/>
  <c r="V13" i="1" s="1"/>
  <c r="X13" i="1"/>
  <c r="Y13" i="1"/>
  <c r="X43" i="1"/>
  <c r="X35" i="1"/>
  <c r="X19" i="1"/>
  <c r="U47" i="1"/>
  <c r="V47" i="1" s="1"/>
  <c r="U43" i="1"/>
  <c r="V43" i="1" s="1"/>
  <c r="W43" i="1"/>
  <c r="Y43" i="1"/>
  <c r="U39" i="1"/>
  <c r="V39" i="1" s="1"/>
  <c r="U35" i="1"/>
  <c r="V35" i="1" s="1"/>
  <c r="W35" i="1"/>
  <c r="Y35" i="1"/>
  <c r="U31" i="1"/>
  <c r="V31" i="1" s="1"/>
  <c r="U27" i="1"/>
  <c r="V27" i="1" s="1"/>
  <c r="W27" i="1"/>
  <c r="U23" i="1"/>
  <c r="V23" i="1" s="1"/>
  <c r="U19" i="1"/>
  <c r="V19" i="1" s="1"/>
  <c r="W19" i="1"/>
  <c r="W21" i="1"/>
  <c r="W13" i="1"/>
  <c r="Y15" i="1"/>
  <c r="Y14" i="1"/>
  <c r="Y18" i="1"/>
  <c r="Y22" i="1"/>
  <c r="Y26" i="1"/>
  <c r="Y30" i="1"/>
  <c r="Y34" i="1"/>
  <c r="Y38" i="1"/>
  <c r="Y42" i="1"/>
  <c r="Y46" i="1"/>
  <c r="AG8" i="5" l="1"/>
  <c r="W9" i="1"/>
  <c r="X9" i="1"/>
  <c r="Y9" i="1"/>
  <c r="Y44" i="1"/>
  <c r="AI5" i="5"/>
  <c r="W44" i="1"/>
  <c r="W36" i="1"/>
  <c r="W28" i="1"/>
  <c r="W20" i="1"/>
  <c r="Y17" i="1"/>
  <c r="Y27" i="1"/>
  <c r="X11" i="1"/>
  <c r="X20" i="1"/>
  <c r="X36" i="1"/>
  <c r="X47" i="1"/>
  <c r="W26" i="1"/>
  <c r="X15" i="1"/>
  <c r="U28" i="1"/>
  <c r="V28" i="1" s="1"/>
  <c r="W17" i="1"/>
  <c r="W41" i="1"/>
  <c r="AJ4" i="5"/>
  <c r="X22" i="1"/>
  <c r="X38" i="1"/>
  <c r="W46" i="1"/>
  <c r="W39" i="1"/>
  <c r="Y28" i="1"/>
  <c r="W18" i="1"/>
  <c r="X10" i="1"/>
  <c r="X48" i="1"/>
  <c r="W40" i="1"/>
  <c r="W32" i="1"/>
  <c r="W24" i="1"/>
  <c r="Y11" i="1"/>
  <c r="AH4" i="5"/>
  <c r="AG9" i="5"/>
  <c r="Y37" i="1"/>
  <c r="U11" i="1"/>
  <c r="V11" i="1" s="1"/>
  <c r="W10" i="1"/>
  <c r="W42" i="1"/>
  <c r="W38" i="1"/>
  <c r="X31" i="1"/>
  <c r="V10" i="1"/>
  <c r="AE4" i="5"/>
  <c r="X8" i="1"/>
  <c r="X23" i="1"/>
  <c r="X39" i="1"/>
  <c r="X25" i="1"/>
  <c r="W29" i="1"/>
  <c r="Y29" i="1"/>
  <c r="U33" i="1"/>
  <c r="V33" i="1" s="1"/>
  <c r="X41" i="1"/>
  <c r="W45" i="1"/>
  <c r="Y45" i="1"/>
  <c r="AD4" i="5"/>
  <c r="AD5" i="5"/>
  <c r="Y10" i="1"/>
  <c r="X14" i="1"/>
  <c r="X46" i="1"/>
  <c r="W14" i="1"/>
  <c r="X12" i="1"/>
  <c r="Y12" i="1"/>
  <c r="AG5" i="5"/>
  <c r="W15" i="1"/>
  <c r="Y23" i="1"/>
  <c r="Y31" i="1"/>
  <c r="Y39" i="1"/>
  <c r="Y47" i="1"/>
  <c r="AF4" i="5"/>
  <c r="U21" i="1"/>
  <c r="V21" i="1" s="1"/>
  <c r="W33" i="1"/>
  <c r="Y33" i="1"/>
  <c r="U37" i="1"/>
  <c r="V37" i="1" s="1"/>
  <c r="AJ5" i="5"/>
  <c r="W8" i="1"/>
  <c r="X16" i="1"/>
  <c r="X24" i="1"/>
  <c r="X32" i="1"/>
  <c r="X40" i="1"/>
  <c r="Y48" i="1"/>
  <c r="Y40" i="1"/>
  <c r="Y32" i="1"/>
  <c r="Y24" i="1"/>
  <c r="Y16" i="1"/>
  <c r="U12" i="1"/>
  <c r="V12" i="1" s="1"/>
  <c r="AE5" i="5"/>
  <c r="AI4" i="5"/>
  <c r="AG4" i="5"/>
  <c r="W31" i="1"/>
  <c r="W47" i="1"/>
  <c r="W37" i="1"/>
  <c r="AH5" i="5"/>
  <c r="X18" i="1"/>
  <c r="X26" i="1"/>
  <c r="X34" i="1"/>
  <c r="X42" i="1"/>
  <c r="Y7" i="1" l="1"/>
  <c r="V3" i="1"/>
  <c r="V7" i="1" s="1"/>
  <c r="U3" i="1"/>
  <c r="X7" i="1"/>
  <c r="W7" i="1"/>
  <c r="AK5" i="5"/>
  <c r="AK4" i="5"/>
  <c r="U5" i="1"/>
  <c r="U6" i="1"/>
  <c r="U7" i="1" l="1"/>
</calcChain>
</file>

<file path=xl/comments1.xml><?xml version="1.0" encoding="utf-8"?>
<comments xmlns="http://schemas.openxmlformats.org/spreadsheetml/2006/main">
  <authors>
    <author>Standard</author>
  </authors>
  <commentList>
    <comment ref="C2" authorId="0" shapeId="0">
      <text>
        <r>
          <rPr>
            <b/>
            <sz val="8"/>
            <color indexed="81"/>
            <rFont val="Tahoma"/>
            <family val="2"/>
            <charset val="238"/>
          </rPr>
          <t>Standard:</t>
        </r>
        <r>
          <rPr>
            <sz val="8"/>
            <color indexed="81"/>
            <rFont val="Tahoma"/>
            <family val="2"/>
            <charset val="238"/>
          </rPr>
          <t xml:space="preserve">
Format yyyy-mm-dd
when you initiate the FMEA analysis</t>
        </r>
      </text>
    </comment>
    <comment ref="B3" authorId="0" shapeId="0">
      <text>
        <r>
          <rPr>
            <b/>
            <sz val="8"/>
            <color indexed="81"/>
            <rFont val="Tahoma"/>
            <family val="2"/>
            <charset val="238"/>
          </rPr>
          <t>Standard:</t>
        </r>
        <r>
          <rPr>
            <sz val="8"/>
            <color indexed="81"/>
            <rFont val="Tahoma"/>
            <family val="2"/>
            <charset val="238"/>
          </rPr>
          <t xml:space="preserve">
Write the name and number of the project </t>
        </r>
      </text>
    </comment>
    <comment ref="B15" authorId="0" shapeId="0">
      <text>
        <r>
          <rPr>
            <b/>
            <sz val="8"/>
            <color indexed="81"/>
            <rFont val="Tahoma"/>
            <family val="2"/>
            <charset val="238"/>
          </rPr>
          <t>Standard:</t>
        </r>
        <r>
          <rPr>
            <sz val="8"/>
            <color indexed="81"/>
            <rFont val="Tahoma"/>
            <family val="2"/>
            <charset val="238"/>
          </rPr>
          <t xml:space="preserve">
Describe the scope, standards or function affected, what will be analysed and what will not be analysed</t>
        </r>
      </text>
    </comment>
    <comment ref="B18" authorId="0" shapeId="0">
      <text>
        <r>
          <rPr>
            <b/>
            <sz val="8"/>
            <color indexed="81"/>
            <rFont val="Tahoma"/>
            <family val="2"/>
            <charset val="238"/>
          </rPr>
          <t>Standard:</t>
        </r>
        <r>
          <rPr>
            <sz val="8"/>
            <color indexed="81"/>
            <rFont val="Tahoma"/>
            <family val="2"/>
            <charset val="238"/>
          </rPr>
          <t xml:space="preserve">
write name</t>
        </r>
      </text>
    </comment>
    <comment ref="B19" authorId="0" shapeId="0">
      <text>
        <r>
          <rPr>
            <b/>
            <sz val="8"/>
            <color indexed="81"/>
            <rFont val="Tahoma"/>
            <family val="2"/>
            <charset val="238"/>
          </rPr>
          <t>Standard:</t>
        </r>
        <r>
          <rPr>
            <sz val="8"/>
            <color indexed="81"/>
            <rFont val="Tahoma"/>
            <family val="2"/>
            <charset val="238"/>
          </rPr>
          <t xml:space="preserve">
write name</t>
        </r>
      </text>
    </comment>
    <comment ref="B20" authorId="0" shapeId="0">
      <text>
        <r>
          <rPr>
            <b/>
            <sz val="8"/>
            <color indexed="81"/>
            <rFont val="Tahoma"/>
            <family val="2"/>
            <charset val="238"/>
          </rPr>
          <t>Standard:</t>
        </r>
        <r>
          <rPr>
            <sz val="8"/>
            <color indexed="81"/>
            <rFont val="Tahoma"/>
            <family val="2"/>
            <charset val="238"/>
          </rPr>
          <t xml:space="preserve">
write name</t>
        </r>
      </text>
    </comment>
    <comment ref="B21" authorId="0" shapeId="0">
      <text>
        <r>
          <rPr>
            <b/>
            <sz val="8"/>
            <color indexed="81"/>
            <rFont val="Tahoma"/>
            <family val="2"/>
            <charset val="238"/>
          </rPr>
          <t>Standard:</t>
        </r>
        <r>
          <rPr>
            <sz val="8"/>
            <color indexed="81"/>
            <rFont val="Tahoma"/>
            <family val="2"/>
            <charset val="238"/>
          </rPr>
          <t xml:space="preserve">
write name</t>
        </r>
      </text>
    </comment>
    <comment ref="B22" authorId="0" shapeId="0">
      <text>
        <r>
          <rPr>
            <b/>
            <sz val="8"/>
            <color indexed="81"/>
            <rFont val="Tahoma"/>
            <family val="2"/>
            <charset val="238"/>
          </rPr>
          <t>Standard:</t>
        </r>
        <r>
          <rPr>
            <sz val="8"/>
            <color indexed="81"/>
            <rFont val="Tahoma"/>
            <family val="2"/>
            <charset val="238"/>
          </rPr>
          <t xml:space="preserve">
write name</t>
        </r>
      </text>
    </comment>
    <comment ref="B25" authorId="0" shapeId="0">
      <text>
        <r>
          <rPr>
            <b/>
            <sz val="8"/>
            <color indexed="81"/>
            <rFont val="Tahoma"/>
            <family val="2"/>
            <charset val="238"/>
          </rPr>
          <t>Standard:</t>
        </r>
        <r>
          <rPr>
            <sz val="8"/>
            <color indexed="81"/>
            <rFont val="Tahoma"/>
            <family val="2"/>
            <charset val="238"/>
          </rPr>
          <t xml:space="preserve">
write name</t>
        </r>
      </text>
    </comment>
    <comment ref="B26" authorId="0" shapeId="0">
      <text>
        <r>
          <rPr>
            <b/>
            <sz val="8"/>
            <color indexed="81"/>
            <rFont val="Tahoma"/>
            <family val="2"/>
            <charset val="238"/>
          </rPr>
          <t>Standard:</t>
        </r>
        <r>
          <rPr>
            <sz val="8"/>
            <color indexed="81"/>
            <rFont val="Tahoma"/>
            <family val="2"/>
            <charset val="238"/>
          </rPr>
          <t xml:space="preserve">
write name</t>
        </r>
      </text>
    </comment>
    <comment ref="B27" authorId="0" shapeId="0">
      <text>
        <r>
          <rPr>
            <b/>
            <sz val="8"/>
            <color indexed="81"/>
            <rFont val="Tahoma"/>
            <family val="2"/>
            <charset val="238"/>
          </rPr>
          <t>Standard:</t>
        </r>
        <r>
          <rPr>
            <sz val="8"/>
            <color indexed="81"/>
            <rFont val="Tahoma"/>
            <family val="2"/>
            <charset val="238"/>
          </rPr>
          <t xml:space="preserve">
write name</t>
        </r>
      </text>
    </comment>
    <comment ref="B28" authorId="0" shapeId="0">
      <text>
        <r>
          <rPr>
            <b/>
            <sz val="8"/>
            <color indexed="81"/>
            <rFont val="Tahoma"/>
            <family val="2"/>
            <charset val="238"/>
          </rPr>
          <t>Standard:</t>
        </r>
        <r>
          <rPr>
            <sz val="8"/>
            <color indexed="81"/>
            <rFont val="Tahoma"/>
            <family val="2"/>
            <charset val="238"/>
          </rPr>
          <t xml:space="preserve">
write name</t>
        </r>
      </text>
    </comment>
    <comment ref="B29" authorId="0" shapeId="0">
      <text>
        <r>
          <rPr>
            <b/>
            <sz val="8"/>
            <color indexed="81"/>
            <rFont val="Tahoma"/>
            <family val="2"/>
            <charset val="238"/>
          </rPr>
          <t>Standard:</t>
        </r>
        <r>
          <rPr>
            <sz val="8"/>
            <color indexed="81"/>
            <rFont val="Tahoma"/>
            <family val="2"/>
            <charset val="238"/>
          </rPr>
          <t xml:space="preserve">
write name</t>
        </r>
      </text>
    </comment>
    <comment ref="B30" authorId="0" shapeId="0">
      <text>
        <r>
          <rPr>
            <b/>
            <sz val="8"/>
            <color indexed="81"/>
            <rFont val="Tahoma"/>
            <family val="2"/>
            <charset val="238"/>
          </rPr>
          <t>Standard:</t>
        </r>
        <r>
          <rPr>
            <sz val="8"/>
            <color indexed="81"/>
            <rFont val="Tahoma"/>
            <family val="2"/>
            <charset val="238"/>
          </rPr>
          <t xml:space="preserve">
write name</t>
        </r>
      </text>
    </comment>
    <comment ref="B31" authorId="0" shapeId="0">
      <text>
        <r>
          <rPr>
            <b/>
            <sz val="8"/>
            <color indexed="81"/>
            <rFont val="Tahoma"/>
            <family val="2"/>
            <charset val="238"/>
          </rPr>
          <t>Standard:</t>
        </r>
        <r>
          <rPr>
            <sz val="8"/>
            <color indexed="81"/>
            <rFont val="Tahoma"/>
            <family val="2"/>
            <charset val="238"/>
          </rPr>
          <t xml:space="preserve">
write name</t>
        </r>
      </text>
    </comment>
    <comment ref="B32" authorId="0" shapeId="0">
      <text>
        <r>
          <rPr>
            <b/>
            <sz val="8"/>
            <color indexed="81"/>
            <rFont val="Tahoma"/>
            <family val="2"/>
            <charset val="238"/>
          </rPr>
          <t>Standard:</t>
        </r>
        <r>
          <rPr>
            <sz val="8"/>
            <color indexed="81"/>
            <rFont val="Tahoma"/>
            <family val="2"/>
            <charset val="238"/>
          </rPr>
          <t xml:space="preserve">
write name</t>
        </r>
      </text>
    </comment>
    <comment ref="B33" authorId="0" shapeId="0">
      <text>
        <r>
          <rPr>
            <b/>
            <sz val="8"/>
            <color indexed="81"/>
            <rFont val="Tahoma"/>
            <family val="2"/>
            <charset val="238"/>
          </rPr>
          <t>Standard:</t>
        </r>
        <r>
          <rPr>
            <sz val="8"/>
            <color indexed="81"/>
            <rFont val="Tahoma"/>
            <family val="2"/>
            <charset val="238"/>
          </rPr>
          <t xml:space="preserve">
write name</t>
        </r>
      </text>
    </comment>
    <comment ref="B36" authorId="0" shapeId="0">
      <text>
        <r>
          <rPr>
            <b/>
            <sz val="8"/>
            <color indexed="81"/>
            <rFont val="Tahoma"/>
            <family val="2"/>
            <charset val="238"/>
          </rPr>
          <t>Standard:</t>
        </r>
        <r>
          <rPr>
            <sz val="8"/>
            <color indexed="81"/>
            <rFont val="Tahoma"/>
            <family val="2"/>
            <charset val="238"/>
          </rPr>
          <t xml:space="preserve">
Write name of CPM</t>
        </r>
      </text>
    </comment>
    <comment ref="B37" authorId="0" shapeId="0">
      <text>
        <r>
          <rPr>
            <b/>
            <sz val="8"/>
            <color indexed="81"/>
            <rFont val="Tahoma"/>
            <family val="2"/>
            <charset val="238"/>
          </rPr>
          <t>Standard:</t>
        </r>
        <r>
          <rPr>
            <sz val="8"/>
            <color indexed="81"/>
            <rFont val="Tahoma"/>
            <family val="2"/>
            <charset val="238"/>
          </rPr>
          <t xml:space="preserve">
Write name of Quality PM</t>
        </r>
      </text>
    </comment>
  </commentList>
</comments>
</file>

<file path=xl/sharedStrings.xml><?xml version="1.0" encoding="utf-8"?>
<sst xmlns="http://schemas.openxmlformats.org/spreadsheetml/2006/main" count="843" uniqueCount="468">
  <si>
    <t xml:space="preserve"> </t>
  </si>
  <si>
    <t>RPN</t>
  </si>
  <si>
    <t>Details as input for the analysis (data,hardware, picture etc.)</t>
  </si>
  <si>
    <t xml:space="preserve">Details for evaluation (experience, significant failure mode or problem) </t>
  </si>
  <si>
    <t>Po</t>
  </si>
  <si>
    <t>S</t>
  </si>
  <si>
    <t>Pd</t>
  </si>
  <si>
    <t>Histogram data</t>
  </si>
  <si>
    <t>0-36</t>
  </si>
  <si>
    <t>At analysis</t>
  </si>
  <si>
    <t>After actions</t>
  </si>
  <si>
    <t>37-64</t>
  </si>
  <si>
    <t>65-125</t>
  </si>
  <si>
    <t>126-250</t>
  </si>
  <si>
    <t>251-500</t>
  </si>
  <si>
    <t>501-750</t>
  </si>
  <si>
    <t>751-1000</t>
  </si>
  <si>
    <t>0-3</t>
  </si>
  <si>
    <t>4-6</t>
  </si>
  <si>
    <t>7-10</t>
  </si>
  <si>
    <t>Severity</t>
  </si>
  <si>
    <t>control sum</t>
  </si>
  <si>
    <t>Green</t>
  </si>
  <si>
    <t>Yellow</t>
  </si>
  <si>
    <t>Red</t>
  </si>
  <si>
    <t>Please enter drawings, technical descriptions and other documentation that can
increase understanding of area which is analysed</t>
  </si>
  <si>
    <t>Conditional formating of RPN values</t>
  </si>
  <si>
    <t>Please change values if needed in all cells</t>
  </si>
  <si>
    <t xml:space="preserve">Date : </t>
  </si>
  <si>
    <t>Concerned project</t>
  </si>
  <si>
    <t xml:space="preserve">Main background documents for this analysis </t>
  </si>
  <si>
    <t>Limits of analysis</t>
  </si>
  <si>
    <t>Meeting appointment :</t>
  </si>
  <si>
    <t xml:space="preserve">    Date  -  Time  -  Place </t>
  </si>
  <si>
    <t>Mandatory attendees</t>
  </si>
  <si>
    <t>If needed, other mandatory attendees</t>
  </si>
  <si>
    <t>Project Managers:</t>
  </si>
  <si>
    <t>Feature responsible :</t>
  </si>
  <si>
    <t>Purchasing:</t>
  </si>
  <si>
    <t xml:space="preserve">Other experts: </t>
  </si>
  <si>
    <t>CPM</t>
  </si>
  <si>
    <t>Quality PM</t>
  </si>
  <si>
    <t>Failure Mode and effect analysis IN PROJECT</t>
  </si>
  <si>
    <t>Prepare FMEA</t>
  </si>
  <si>
    <t>To be sent to attendees with documentation to prepare FMEA analysis at least two weeks before meeting</t>
  </si>
  <si>
    <t>FMEA Facilitator:</t>
  </si>
  <si>
    <t>Design Engineer:</t>
  </si>
  <si>
    <t>Test Engineer:</t>
  </si>
  <si>
    <t>Reliability/Quality Control Engineer:</t>
  </si>
  <si>
    <t>Environmentally competent person:</t>
  </si>
  <si>
    <t>Process planning engineer:</t>
  </si>
  <si>
    <t>Representative from supplier:</t>
  </si>
  <si>
    <t>Service technician:</t>
  </si>
  <si>
    <t>Material Engineer:</t>
  </si>
  <si>
    <t>Mechanic:</t>
  </si>
  <si>
    <r>
      <t>Document jointly established with:</t>
    </r>
    <r>
      <rPr>
        <b/>
        <sz val="10"/>
        <rFont val="Arial"/>
        <family val="2"/>
      </rPr>
      <t xml:space="preserve"> </t>
    </r>
  </si>
  <si>
    <t>GDI 968-04
STD 5034.2</t>
  </si>
  <si>
    <t>2nd RATING</t>
  </si>
  <si>
    <t>1st RATING</t>
  </si>
  <si>
    <t>Issue</t>
  </si>
  <si>
    <t>Project</t>
  </si>
  <si>
    <t>Supplier</t>
  </si>
  <si>
    <t>Drawing-Part No.</t>
  </si>
  <si>
    <t>Part/Operation name.</t>
  </si>
  <si>
    <t xml:space="preserve"> Machine No.</t>
  </si>
  <si>
    <t>Date Performed</t>
  </si>
  <si>
    <t>Issued by</t>
  </si>
  <si>
    <t>PART</t>
  </si>
  <si>
    <t>CHARACTERISTICS OF FAILURE</t>
  </si>
  <si>
    <t>ACTION-STATUS</t>
  </si>
  <si>
    <t>Causes of failure</t>
  </si>
  <si>
    <t>Failure mode</t>
  </si>
  <si>
    <t>No</t>
  </si>
  <si>
    <t>Planned action</t>
  </si>
  <si>
    <t>Responsible</t>
  </si>
  <si>
    <t>Verifications-Sign</t>
  </si>
  <si>
    <t>yyyy-mm-dd</t>
  </si>
  <si>
    <t>Date Time Updated</t>
  </si>
  <si>
    <t>Recommended action</t>
  </si>
  <si>
    <t>Functional Specification-Technical Regulation (link if possible)</t>
  </si>
  <si>
    <t>Follow up date</t>
  </si>
  <si>
    <t>Status - Hardware/Digital modell</t>
  </si>
  <si>
    <t>FMEA - FAILURE MODE AND EFFECT ANALYSIS  SYSTEM/DESIGN/PROCESS</t>
  </si>
  <si>
    <t>RPN High</t>
  </si>
  <si>
    <t>RPN Medium</t>
  </si>
  <si>
    <t>RPN Low</t>
  </si>
  <si>
    <t>Main system / Sub-system</t>
  </si>
  <si>
    <t>Main Function / Operation</t>
  </si>
  <si>
    <t>Undesirable customer effects
Effects of failure on syst. / part / operation</t>
  </si>
  <si>
    <t xml:space="preserve">Testing - Simulation </t>
  </si>
  <si>
    <t>Function / Part / Operation</t>
  </si>
  <si>
    <t>CONTROL PLAN</t>
  </si>
  <si>
    <t xml:space="preserve">                   Rev. 1 – February 2017</t>
  </si>
  <si>
    <t>Control Plan Number</t>
  </si>
  <si>
    <t>Key contact/ Phone/ e-mail</t>
  </si>
  <si>
    <t>Date (Orig.)</t>
  </si>
  <si>
    <t>Date (Rev.)</t>
  </si>
  <si>
    <t>Številka plana nadzora</t>
  </si>
  <si>
    <t>Ključna kontaktna oseba/ telefon/ e-mail</t>
  </si>
  <si>
    <t>Datum izdaje (Orig.)</t>
  </si>
  <si>
    <t>Datum zaporedne izdaje (Rev.)</t>
  </si>
  <si>
    <t>janez.jurancic@lvl.si</t>
  </si>
  <si>
    <t>Part Number/Latest Change Level</t>
  </si>
  <si>
    <t>Core Team</t>
  </si>
  <si>
    <t>Customer Engineering Approval/Date (If Req'd.)</t>
  </si>
  <si>
    <t>Številka dela/Raven tehnične spremembe</t>
  </si>
  <si>
    <t>Člani tima</t>
  </si>
  <si>
    <t>Odobritev razvoja kupca/Datum (če je zahtevano)</t>
  </si>
  <si>
    <t>442710181970</t>
  </si>
  <si>
    <t>Part Name/Description</t>
  </si>
  <si>
    <t>Supplier/Plant Approval/Date</t>
  </si>
  <si>
    <t>Customer Quality Approval/Date (If Req'd.)</t>
  </si>
  <si>
    <t>Naziv/Opis dela</t>
  </si>
  <si>
    <t>Odobritev dobavitelja/Lokacija/Datum</t>
  </si>
  <si>
    <t>Odobritev kontrole kakovosti kupca/ datum (če je zahteva)</t>
  </si>
  <si>
    <t>Supplier/Plant</t>
  </si>
  <si>
    <t>Supplier Code</t>
  </si>
  <si>
    <t>Other Approval/Date (If Req'd.)</t>
  </si>
  <si>
    <t>Dobavitelj- proiz. lokacija</t>
  </si>
  <si>
    <t>Šifra dobavitelja</t>
  </si>
  <si>
    <t>Ostale odobritve/Datum (če je zahtevano)</t>
  </si>
  <si>
    <t>Legenda:    K - kontrolor,  AK - autokontrola</t>
  </si>
  <si>
    <r>
      <t xml:space="preserve">Part-process number
</t>
    </r>
    <r>
      <rPr>
        <sz val="6"/>
        <rFont val="Arial"/>
        <family val="2"/>
        <charset val="238"/>
      </rPr>
      <t>(Korak-številka procesa)</t>
    </r>
  </si>
  <si>
    <r>
      <t xml:space="preserve">
Process name-operation description
(</t>
    </r>
    <r>
      <rPr>
        <sz val="6"/>
        <rFont val="Arial"/>
        <family val="2"/>
        <charset val="238"/>
      </rPr>
      <t xml:space="preserve">Naziv procesa- opis operacije)
</t>
    </r>
  </si>
  <si>
    <r>
      <t>Mschine, device, jig,
tools for Mfg.
(</t>
    </r>
    <r>
      <rPr>
        <sz val="6"/>
        <rFont val="Arial"/>
        <family val="2"/>
        <charset val="238"/>
      </rPr>
      <t>Stroj, naprava, šablona, orodja za proizvodnjo)</t>
    </r>
  </si>
  <si>
    <r>
      <t xml:space="preserve"> Characteristics </t>
    </r>
    <r>
      <rPr>
        <b/>
        <sz val="7"/>
        <rFont val="Arial"/>
        <family val="2"/>
        <charset val="238"/>
      </rPr>
      <t>(</t>
    </r>
    <r>
      <rPr>
        <sz val="7"/>
        <rFont val="Arial"/>
        <family val="2"/>
        <charset val="238"/>
      </rPr>
      <t>Karakteristike)</t>
    </r>
    <r>
      <rPr>
        <b/>
        <sz val="8"/>
        <rFont val="Arial"/>
        <family val="2"/>
        <charset val="238"/>
      </rPr>
      <t xml:space="preserve"> </t>
    </r>
  </si>
  <si>
    <t>CTQ?</t>
  </si>
  <si>
    <r>
      <t>Special charact. class (</t>
    </r>
    <r>
      <rPr>
        <sz val="6"/>
        <rFont val="Arial"/>
        <family val="2"/>
        <charset val="238"/>
      </rPr>
      <t xml:space="preserve">Posebna karakter.) </t>
    </r>
  </si>
  <si>
    <r>
      <t xml:space="preserve"> Methods</t>
    </r>
    <r>
      <rPr>
        <sz val="6"/>
        <rFont val="Arial"/>
        <family val="2"/>
        <charset val="238"/>
      </rPr>
      <t xml:space="preserve"> (</t>
    </r>
    <r>
      <rPr>
        <sz val="7"/>
        <rFont val="Arial"/>
        <family val="2"/>
        <charset val="238"/>
      </rPr>
      <t>Metode)</t>
    </r>
  </si>
  <si>
    <r>
      <t xml:space="preserve">
Reaction plan or link</t>
    </r>
    <r>
      <rPr>
        <sz val="6"/>
        <rFont val="Arial"/>
        <family val="2"/>
        <charset val="238"/>
      </rPr>
      <t xml:space="preserve"> (Ukrepanje ob odstopanjih oziroma povezava)</t>
    </r>
  </si>
  <si>
    <r>
      <t xml:space="preserve">
</t>
    </r>
    <r>
      <rPr>
        <b/>
        <sz val="7"/>
        <rFont val="Arial"/>
        <family val="2"/>
        <charset val="238"/>
      </rPr>
      <t xml:space="preserve">No.
</t>
    </r>
    <r>
      <rPr>
        <sz val="7"/>
        <rFont val="Arial"/>
        <family val="2"/>
        <charset val="238"/>
      </rPr>
      <t>(Št.)</t>
    </r>
  </si>
  <si>
    <r>
      <t xml:space="preserve">
</t>
    </r>
    <r>
      <rPr>
        <b/>
        <sz val="7"/>
        <rFont val="Arial"/>
        <family val="2"/>
        <charset val="238"/>
      </rPr>
      <t xml:space="preserve"> Name of quantity </t>
    </r>
    <r>
      <rPr>
        <sz val="7"/>
        <rFont val="Arial"/>
        <family val="2"/>
        <charset val="238"/>
      </rPr>
      <t>(Ime veličine i</t>
    </r>
    <r>
      <rPr>
        <sz val="7"/>
        <rFont val="Arial"/>
        <family val="2"/>
        <charset val="1"/>
      </rPr>
      <t>zdelka)</t>
    </r>
  </si>
  <si>
    <r>
      <rPr>
        <b/>
        <sz val="7"/>
        <rFont val="Arial"/>
        <family val="2"/>
        <charset val="238"/>
      </rPr>
      <t xml:space="preserve">Quantity size </t>
    </r>
    <r>
      <rPr>
        <sz val="7"/>
        <rFont val="Arial"/>
        <family val="2"/>
        <charset val="238"/>
      </rPr>
      <t>(Velikost veličine)</t>
    </r>
  </si>
  <si>
    <r>
      <t xml:space="preserve">
Product- process
specification- tolerance (</t>
    </r>
    <r>
      <rPr>
        <sz val="6"/>
        <rFont val="Arial"/>
        <family val="2"/>
        <charset val="238"/>
      </rPr>
      <t>Proizvod- proces
Specifikacije- tolerance)</t>
    </r>
  </si>
  <si>
    <r>
      <t xml:space="preserve">Metoda merjenja </t>
    </r>
    <r>
      <rPr>
        <sz val="6"/>
        <rFont val="Arial"/>
        <family val="2"/>
        <charset val="238"/>
      </rPr>
      <t>(Evaluation measurement tehnique</t>
    </r>
  </si>
  <si>
    <r>
      <t>Vzorec</t>
    </r>
    <r>
      <rPr>
        <sz val="7"/>
        <rFont val="Arial"/>
        <family val="2"/>
        <charset val="1"/>
      </rPr>
      <t xml:space="preserve"> </t>
    </r>
    <r>
      <rPr>
        <sz val="6"/>
        <rFont val="Arial"/>
        <family val="2"/>
        <charset val="238"/>
      </rPr>
      <t>(sample)</t>
    </r>
  </si>
  <si>
    <r>
      <t xml:space="preserve">Name of control card </t>
    </r>
    <r>
      <rPr>
        <sz val="6"/>
        <rFont val="Arial"/>
        <family val="2"/>
        <charset val="238"/>
      </rPr>
      <t xml:space="preserve">                       (Ime kontrolne karte)</t>
    </r>
  </si>
  <si>
    <r>
      <t xml:space="preserve">
</t>
    </r>
    <r>
      <rPr>
        <b/>
        <sz val="7"/>
        <rFont val="Arial"/>
        <family val="2"/>
        <charset val="238"/>
      </rPr>
      <t>Size</t>
    </r>
    <r>
      <rPr>
        <sz val="6"/>
        <rFont val="Arial"/>
        <family val="2"/>
        <charset val="238"/>
      </rPr>
      <t xml:space="preserve"> (Velikost)</t>
    </r>
  </si>
  <si>
    <r>
      <t xml:space="preserve">
</t>
    </r>
    <r>
      <rPr>
        <b/>
        <sz val="7"/>
        <rFont val="Arial"/>
        <family val="2"/>
        <charset val="238"/>
      </rPr>
      <t>Frequency (</t>
    </r>
    <r>
      <rPr>
        <sz val="6"/>
        <rFont val="Arial"/>
        <family val="2"/>
        <charset val="238"/>
      </rPr>
      <t>Frekvenca)</t>
    </r>
  </si>
  <si>
    <r>
      <rPr>
        <b/>
        <sz val="7"/>
        <rFont val="Arial"/>
        <family val="2"/>
        <charset val="238"/>
      </rPr>
      <t>Type of control</t>
    </r>
    <r>
      <rPr>
        <sz val="7"/>
        <rFont val="Arial"/>
        <family val="2"/>
        <charset val="1"/>
      </rPr>
      <t xml:space="preserve"> (način kontroler)</t>
    </r>
  </si>
  <si>
    <t>Kupec (Customer) :Gorenje d.d.</t>
  </si>
  <si>
    <t>Verzija (Version) : 001</t>
  </si>
  <si>
    <t>Sprememba (Index) : 5.4.2017</t>
  </si>
  <si>
    <t>Datum izdelave (Date): 5.4.2017</t>
  </si>
  <si>
    <t>Izdelal (Signitre) : Janez Jurančič</t>
  </si>
  <si>
    <t>LVL</t>
  </si>
  <si>
    <t>Artikel (code)</t>
  </si>
  <si>
    <t>Ime (name)</t>
  </si>
  <si>
    <t>Koda pri kupcu (customer code)</t>
  </si>
  <si>
    <t>A0164</t>
  </si>
  <si>
    <t>Nosilec bobna 6 Kg 1000 PJ PS 15</t>
  </si>
  <si>
    <t>481 232</t>
  </si>
  <si>
    <t xml:space="preserve"> SHEMATSKI PRIKAZ / FLOW CHART</t>
  </si>
  <si>
    <t>Stran : 1 od 1</t>
  </si>
  <si>
    <t>Datum :   5.4.2017</t>
  </si>
  <si>
    <t>Legend:</t>
  </si>
  <si>
    <t>Information</t>
  </si>
  <si>
    <t>Transportation</t>
  </si>
  <si>
    <t>Control/Inspection</t>
  </si>
  <si>
    <t>Waste</t>
  </si>
  <si>
    <t>Store</t>
  </si>
  <si>
    <t>OPERATIONS:</t>
  </si>
  <si>
    <r>
      <t>Napačna struktura   materiala</t>
    </r>
    <r>
      <rPr>
        <sz val="8"/>
        <rFont val="Arial"/>
        <family val="2"/>
        <charset val="238"/>
      </rPr>
      <t xml:space="preserve">           Wrong material structure</t>
    </r>
  </si>
  <si>
    <r>
      <t xml:space="preserve">Napačna dobava,
Kakovost  </t>
    </r>
    <r>
      <rPr>
        <sz val="8"/>
        <rFont val="Arial"/>
        <family val="2"/>
        <charset val="238"/>
      </rPr>
      <t xml:space="preserve">                      Wrong material supply            Quality error</t>
    </r>
  </si>
  <si>
    <r>
      <t xml:space="preserve">Analiza 
Materiala                 </t>
    </r>
    <r>
      <rPr>
        <sz val="8"/>
        <rFont val="Arial"/>
        <family val="2"/>
        <charset val="238"/>
      </rPr>
      <t>Material analysis</t>
    </r>
  </si>
  <si>
    <r>
      <t xml:space="preserve">Napačna                   temperatura    </t>
    </r>
    <r>
      <rPr>
        <sz val="8"/>
        <rFont val="Arial"/>
        <family val="2"/>
        <charset val="238"/>
      </rPr>
      <t xml:space="preserve">         Wrong temperature</t>
    </r>
  </si>
  <si>
    <r>
      <t>Nepazljivost operaterja</t>
    </r>
    <r>
      <rPr>
        <sz val="8"/>
        <rFont val="Arial"/>
        <family val="2"/>
        <charset val="238"/>
      </rPr>
      <t xml:space="preserve">      Operater inattention</t>
    </r>
  </si>
  <si>
    <r>
      <t xml:space="preserve">Kontrola in
Evidentiranje       </t>
    </r>
    <r>
      <rPr>
        <sz val="8"/>
        <rFont val="Arial"/>
        <family val="2"/>
        <charset val="238"/>
      </rPr>
      <t>Control and recording</t>
    </r>
  </si>
  <si>
    <r>
      <t>Čistoča materiala</t>
    </r>
    <r>
      <rPr>
        <sz val="8"/>
        <rFont val="Arial"/>
        <family val="2"/>
        <charset val="238"/>
      </rPr>
      <t xml:space="preserve">     Material cleanliness</t>
    </r>
  </si>
  <si>
    <r>
      <t xml:space="preserve">Nadzor 
odgovorne osebe   </t>
    </r>
    <r>
      <rPr>
        <sz val="8"/>
        <rFont val="Arial"/>
        <family val="2"/>
        <charset val="238"/>
      </rPr>
      <t>Responsible person supervision</t>
    </r>
  </si>
  <si>
    <r>
      <t xml:space="preserve">Nepravilno Ulit      </t>
    </r>
    <r>
      <rPr>
        <sz val="8"/>
        <rFont val="Arial"/>
        <family val="2"/>
        <charset val="238"/>
      </rPr>
      <t>Improperly casted</t>
    </r>
  </si>
  <si>
    <r>
      <t>Odtrganost</t>
    </r>
    <r>
      <rPr>
        <sz val="8"/>
        <rFont val="Arial"/>
        <family val="2"/>
        <charset val="238"/>
      </rPr>
      <t xml:space="preserve">            Fracture</t>
    </r>
  </si>
  <si>
    <r>
      <t>Poškodba orodja</t>
    </r>
    <r>
      <rPr>
        <sz val="8"/>
        <rFont val="Arial"/>
        <family val="2"/>
        <charset val="238"/>
      </rPr>
      <t xml:space="preserve">                  Mould damage</t>
    </r>
  </si>
  <si>
    <r>
      <t>Razpoka</t>
    </r>
    <r>
      <rPr>
        <sz val="8"/>
        <rFont val="Arial"/>
        <family val="2"/>
        <charset val="238"/>
      </rPr>
      <t xml:space="preserve">                 Crack</t>
    </r>
  </si>
  <si>
    <r>
      <t xml:space="preserve">Dimenzijska odstopanja               </t>
    </r>
    <r>
      <rPr>
        <sz val="8"/>
        <rFont val="Arial"/>
        <family val="2"/>
        <charset val="238"/>
      </rPr>
      <t>Dimensional tolerances/deviations</t>
    </r>
  </si>
  <si>
    <r>
      <t xml:space="preserve">Parametri litja                </t>
    </r>
    <r>
      <rPr>
        <sz val="8"/>
        <rFont val="Arial"/>
        <family val="2"/>
        <charset val="238"/>
      </rPr>
      <t xml:space="preserve">      Die casting parameters</t>
    </r>
  </si>
  <si>
    <r>
      <t>Očna kontrola po planu kontrole na DM
Čiščenje , popravilo orodja
Kontrola parametrov litja</t>
    </r>
    <r>
      <rPr>
        <sz val="8"/>
        <rFont val="Arial"/>
        <family val="2"/>
        <charset val="238"/>
      </rPr>
      <t xml:space="preserve">                    Visual control according to a Q-Plan  Mould cleaning and repairs        Die casting parameters control</t>
    </r>
  </si>
  <si>
    <r>
      <t>Podrgnjena vela</t>
    </r>
    <r>
      <rPr>
        <sz val="8"/>
        <rFont val="Arial"/>
        <family val="2"/>
        <charset val="238"/>
      </rPr>
      <t xml:space="preserve">     Damaged axis</t>
    </r>
  </si>
  <si>
    <r>
      <t>Povečanje izmeta
Možnost napake
pri končni kontroli
Reklamacije kupca</t>
    </r>
    <r>
      <rPr>
        <sz val="8"/>
        <rFont val="Arial"/>
        <family val="2"/>
        <charset val="238"/>
      </rPr>
      <t xml:space="preserve"> Increasion of waste Errors at Output Inspection       Customer complaint</t>
    </r>
  </si>
  <si>
    <t>CTQ   Y / N ?</t>
  </si>
  <si>
    <r>
      <t xml:space="preserve">
Težave pri litju
Reklamacije kupca
Izmet </t>
    </r>
    <r>
      <rPr>
        <sz val="8"/>
        <rFont val="Arial"/>
        <family val="2"/>
        <charset val="238"/>
      </rPr>
      <t xml:space="preserve">                        Errors at die casting     Customer complaint   Waste</t>
    </r>
  </si>
  <si>
    <r>
      <t>Priprava taline</t>
    </r>
    <r>
      <rPr>
        <sz val="8"/>
        <rFont val="Arial"/>
        <family val="2"/>
        <charset val="238"/>
      </rPr>
      <t xml:space="preserve">  Melting</t>
    </r>
  </si>
  <si>
    <r>
      <rPr>
        <b/>
        <sz val="8"/>
        <rFont val="Arial"/>
        <family val="2"/>
        <charset val="238"/>
      </rPr>
      <t xml:space="preserve">Tlačno litje in obrez     </t>
    </r>
    <r>
      <rPr>
        <sz val="8"/>
        <rFont val="Arial"/>
        <family val="2"/>
        <charset val="238"/>
      </rPr>
      <t xml:space="preserve">                                       Die casting and cutting</t>
    </r>
  </si>
  <si>
    <r>
      <t>Nadzor 
odgovorne osebe, kontrola parametrov litja, očna kontrola po planu kontrole na DM</t>
    </r>
    <r>
      <rPr>
        <sz val="8"/>
        <rFont val="Arial"/>
        <family val="2"/>
        <charset val="238"/>
      </rPr>
      <t xml:space="preserve">            Responsible person supervision,           Die casting parameters control,   Visual control according to Q-Plan</t>
    </r>
  </si>
  <si>
    <r>
      <t>Odlomljeno jedro</t>
    </r>
    <r>
      <rPr>
        <sz val="8"/>
        <rFont val="Arial"/>
        <family val="2"/>
        <charset val="238"/>
      </rPr>
      <t xml:space="preserve">    Broken/Detached core</t>
    </r>
  </si>
  <si>
    <r>
      <t xml:space="preserve">Udarjenost </t>
    </r>
    <r>
      <rPr>
        <sz val="8"/>
        <rFont val="Arial"/>
        <family val="2"/>
        <charset val="238"/>
      </rPr>
      <t xml:space="preserve">              Periosteal/Impact</t>
    </r>
  </si>
  <si>
    <r>
      <t>Kalibracija lukenj in brušenje</t>
    </r>
    <r>
      <rPr>
        <sz val="8"/>
        <rFont val="Arial"/>
        <family val="2"/>
        <charset val="238"/>
      </rPr>
      <t xml:space="preserve">                                                                     Hole calibration and griding</t>
    </r>
  </si>
  <si>
    <r>
      <t xml:space="preserve">
Izgled kosa
</t>
    </r>
    <r>
      <rPr>
        <sz val="8"/>
        <rFont val="Arial"/>
        <family val="2"/>
        <charset val="238"/>
      </rPr>
      <t xml:space="preserve">                                   Article/Part appearance</t>
    </r>
  </si>
  <si>
    <r>
      <t>Udarjenost</t>
    </r>
    <r>
      <rPr>
        <sz val="8"/>
        <rFont val="Arial"/>
        <family val="2"/>
        <charset val="238"/>
      </rPr>
      <t xml:space="preserve">              Periosteal/Impact</t>
    </r>
  </si>
  <si>
    <r>
      <t>Nepazljivost na predhodnjih  operacijah</t>
    </r>
    <r>
      <rPr>
        <sz val="8"/>
        <rFont val="Arial"/>
        <family val="2"/>
        <charset val="238"/>
      </rPr>
      <t xml:space="preserve">                Innatention at the previous task operations</t>
    </r>
  </si>
  <si>
    <r>
      <t xml:space="preserve">Jasna navodila na predhodnjih operacijah
Pisno in ustno,
plan kontrole na DM                            </t>
    </r>
    <r>
      <rPr>
        <sz val="8"/>
        <rFont val="Arial"/>
        <family val="2"/>
        <charset val="238"/>
      </rPr>
      <t>Clear instructions at the previous operations/tasks,   Oral and written by Q-Plan</t>
    </r>
  </si>
  <si>
    <r>
      <t xml:space="preserve">Zračnost na veli    </t>
    </r>
    <r>
      <rPr>
        <sz val="8"/>
        <rFont val="Arial"/>
        <family val="2"/>
        <charset val="238"/>
      </rPr>
      <t xml:space="preserve">  Backclash on axis</t>
    </r>
  </si>
  <si>
    <r>
      <t>Odlomljeno jedro</t>
    </r>
    <r>
      <rPr>
        <sz val="8"/>
        <color indexed="8"/>
        <rFont val="Arial"/>
        <family val="2"/>
        <charset val="238"/>
      </rPr>
      <t xml:space="preserve">    Broken/Detached core</t>
    </r>
  </si>
  <si>
    <r>
      <t xml:space="preserve">Počenost                </t>
    </r>
    <r>
      <rPr>
        <sz val="8"/>
        <rFont val="Arial"/>
        <family val="2"/>
        <charset val="238"/>
      </rPr>
      <t xml:space="preserve">  Cracked structure</t>
    </r>
  </si>
  <si>
    <r>
      <t>Kontrola višin                križev</t>
    </r>
    <r>
      <rPr>
        <sz val="8"/>
        <rFont val="Arial"/>
        <family val="2"/>
        <charset val="238"/>
      </rPr>
      <t xml:space="preserve">                                  Cross height control</t>
    </r>
  </si>
  <si>
    <r>
      <t xml:space="preserve">Izgled kosa
</t>
    </r>
    <r>
      <rPr>
        <sz val="8"/>
        <rFont val="Arial"/>
        <family val="2"/>
        <charset val="238"/>
      </rPr>
      <t xml:space="preserve">                                   Article/Part appearance</t>
    </r>
  </si>
  <si>
    <t>Zakrušenost</t>
  </si>
  <si>
    <t xml:space="preserve">Umazanost Ostanek Srha    </t>
  </si>
  <si>
    <t>6 - 8</t>
  </si>
  <si>
    <t>11 - 14</t>
  </si>
  <si>
    <t>15</t>
  </si>
  <si>
    <t>18</t>
  </si>
  <si>
    <t>20</t>
  </si>
  <si>
    <t>25</t>
  </si>
  <si>
    <t>005</t>
  </si>
  <si>
    <t>Fracture</t>
  </si>
  <si>
    <t>Crack</t>
  </si>
  <si>
    <t>Die casting / Machine setup</t>
  </si>
  <si>
    <t>Setup parameters</t>
  </si>
  <si>
    <t>Production hold, lost time, mechanical problems</t>
  </si>
  <si>
    <t>Lost time, delivery supply, customer's cost, company's cost, Die cast defects, Tool damage</t>
  </si>
  <si>
    <t>n/a</t>
  </si>
  <si>
    <t>Machine setup errors, unknown mechanical and electrical failures, inattention of operator</t>
  </si>
  <si>
    <t>Scheduled parameter check</t>
  </si>
  <si>
    <t>Parameters check control</t>
  </si>
  <si>
    <t>Die casting parameters</t>
  </si>
  <si>
    <t>Production hold, lost time, bad parts,</t>
  </si>
  <si>
    <t>Material structure, Material cleanliness, Material temperature, Innatention of operator, mechanical and electrical failures.</t>
  </si>
  <si>
    <t>Schedule tool check</t>
  </si>
  <si>
    <t>010</t>
  </si>
  <si>
    <t>Press Cutting</t>
  </si>
  <si>
    <t>Part's edges and surface</t>
  </si>
  <si>
    <t>Broken part, overcut</t>
  </si>
  <si>
    <t>Increasing of waste, Errors at Output Inspection, Mechanical functionality problems may occur, Customer complanit, later failures at assembly and montage lines at customer facilities, damaged parts, mechanical functionality problems at customer, customer cost, supplier cost, Overcutted parts.</t>
  </si>
  <si>
    <t>Stamping tool damage, setup failure - pressing force</t>
  </si>
  <si>
    <t>Check of stamping tool</t>
  </si>
  <si>
    <t>Caliper cast/part control</t>
  </si>
  <si>
    <t>Periosteal/Impact</t>
  </si>
  <si>
    <t>Tool setup error, Inattention of operator</t>
  </si>
  <si>
    <t>Reset and check machine setup</t>
  </si>
  <si>
    <t>Visual part control,  check control</t>
  </si>
  <si>
    <t>Inspection / 1st Part Approval</t>
  </si>
  <si>
    <t>Diameter Ø 14 -0,2 mm at C-2</t>
  </si>
  <si>
    <t>Diameter out of tolerance</t>
  </si>
  <si>
    <t>Machine parameters, Gas, Water. Problems at prevous processes. Tool cavitation, material structure, mechanical and electrical problems. Inspection failure.</t>
  </si>
  <si>
    <t>Caliper control</t>
  </si>
  <si>
    <t>Dimension 6,1  -0,1 mm at B-2</t>
  </si>
  <si>
    <t>Dimension out of tolerance</t>
  </si>
  <si>
    <t>Broken part, soft material properties</t>
  </si>
  <si>
    <t>100% Visual control</t>
  </si>
  <si>
    <t>Porosity</t>
  </si>
  <si>
    <t>Material structure</t>
  </si>
  <si>
    <t>Manual control - sawing a part to check</t>
  </si>
  <si>
    <t>Mechanical functionality of part</t>
  </si>
  <si>
    <t>Schedule parameter check</t>
  </si>
  <si>
    <r>
      <t>Priprava taline</t>
    </r>
    <r>
      <rPr>
        <sz val="10"/>
        <rFont val="Arial"/>
        <family val="2"/>
        <charset val="238"/>
      </rPr>
      <t xml:space="preserve">  Melting</t>
    </r>
  </si>
  <si>
    <r>
      <t>Napačna struktura   materiala</t>
    </r>
    <r>
      <rPr>
        <sz val="10"/>
        <rFont val="Arial"/>
        <family val="2"/>
        <charset val="238"/>
      </rPr>
      <t xml:space="preserve">           Wrong material structure</t>
    </r>
  </si>
  <si>
    <r>
      <t xml:space="preserve">
Težave pri litju
Reklamacije kupca
Izmet </t>
    </r>
    <r>
      <rPr>
        <sz val="10"/>
        <rFont val="Arial"/>
        <family val="2"/>
        <charset val="238"/>
      </rPr>
      <t xml:space="preserve">                        Errors at die casting     Customer complaint   Waste</t>
    </r>
  </si>
  <si>
    <r>
      <t xml:space="preserve">Napačna dobava,
Kakovost  </t>
    </r>
    <r>
      <rPr>
        <sz val="10"/>
        <rFont val="Arial"/>
        <family val="2"/>
        <charset val="238"/>
      </rPr>
      <t xml:space="preserve">                      Wrong material supply            Quality error</t>
    </r>
  </si>
  <si>
    <r>
      <t xml:space="preserve">Analiza 
Materiala                 </t>
    </r>
    <r>
      <rPr>
        <sz val="10"/>
        <rFont val="Arial"/>
        <family val="2"/>
        <charset val="238"/>
      </rPr>
      <t>Material analysis</t>
    </r>
  </si>
  <si>
    <r>
      <rPr>
        <b/>
        <sz val="10"/>
        <rFont val="Arial"/>
        <family val="2"/>
        <charset val="238"/>
      </rPr>
      <t>Trovaliranje</t>
    </r>
    <r>
      <rPr>
        <sz val="10"/>
        <rFont val="Arial"/>
        <family val="2"/>
        <charset val="238"/>
      </rPr>
      <t xml:space="preserve">                                                                  Machine deburring Trowal</t>
    </r>
  </si>
  <si>
    <r>
      <t xml:space="preserve">Izgled kosa
Reklamacija kupca </t>
    </r>
    <r>
      <rPr>
        <sz val="10"/>
        <rFont val="Arial"/>
        <family val="2"/>
        <charset val="238"/>
      </rPr>
      <t xml:space="preserve">                                  Article/Part appearance                 Customer Complaint</t>
    </r>
  </si>
  <si>
    <r>
      <t xml:space="preserve">Jasna navodila na predhodnjih operacijah
Pisno in ustno,
plan kontrole na DM                            </t>
    </r>
    <r>
      <rPr>
        <sz val="10"/>
        <rFont val="Arial"/>
        <family val="2"/>
        <charset val="238"/>
      </rPr>
      <t>Clear instructions at the previous operations/tasks,   Oral and written by Q-Plan</t>
    </r>
  </si>
  <si>
    <r>
      <t xml:space="preserve">Napačna                   temperatura    </t>
    </r>
    <r>
      <rPr>
        <sz val="10"/>
        <rFont val="Arial"/>
        <family val="2"/>
        <charset val="238"/>
      </rPr>
      <t xml:space="preserve">         Wrong temperature</t>
    </r>
  </si>
  <si>
    <r>
      <t>Nepazljivost operaterja</t>
    </r>
    <r>
      <rPr>
        <sz val="10"/>
        <rFont val="Arial"/>
        <family val="2"/>
        <charset val="238"/>
      </rPr>
      <t xml:space="preserve">      Operater inattention</t>
    </r>
  </si>
  <si>
    <r>
      <t xml:space="preserve">Kontrola in
Evidentiranje       </t>
    </r>
    <r>
      <rPr>
        <sz val="10"/>
        <rFont val="Arial"/>
        <family val="2"/>
        <charset val="238"/>
      </rPr>
      <t>Control and recording</t>
    </r>
  </si>
  <si>
    <r>
      <t>Udarjenost</t>
    </r>
    <r>
      <rPr>
        <sz val="10"/>
        <rFont val="Arial"/>
        <family val="2"/>
        <charset val="238"/>
      </rPr>
      <t xml:space="preserve">               Periosteal/Impact</t>
    </r>
  </si>
  <si>
    <r>
      <t>Čistoča materiala</t>
    </r>
    <r>
      <rPr>
        <sz val="10"/>
        <rFont val="Arial"/>
        <family val="2"/>
        <charset val="238"/>
      </rPr>
      <t xml:space="preserve">     Material cleanliness</t>
    </r>
  </si>
  <si>
    <r>
      <t xml:space="preserve">Nadzor 
odgovorne osebe   </t>
    </r>
    <r>
      <rPr>
        <sz val="10"/>
        <rFont val="Arial"/>
        <family val="2"/>
        <charset val="238"/>
      </rPr>
      <t>Responsible person supervision</t>
    </r>
  </si>
  <si>
    <r>
      <rPr>
        <b/>
        <sz val="10"/>
        <rFont val="Arial"/>
        <family val="2"/>
        <charset val="238"/>
      </rPr>
      <t xml:space="preserve">Tlačno litje in obrez     </t>
    </r>
    <r>
      <rPr>
        <sz val="10"/>
        <rFont val="Arial"/>
        <family val="2"/>
        <charset val="238"/>
      </rPr>
      <t xml:space="preserve">                                       Die casting and cutting</t>
    </r>
  </si>
  <si>
    <r>
      <t xml:space="preserve">Nepravilno Ulit      </t>
    </r>
    <r>
      <rPr>
        <sz val="10"/>
        <rFont val="Arial"/>
        <family val="2"/>
        <charset val="238"/>
      </rPr>
      <t>Improperly casted</t>
    </r>
  </si>
  <si>
    <r>
      <t>Povečanje izmeta
Možnost napake
pri končni kontroli
Reklamacije kupca</t>
    </r>
    <r>
      <rPr>
        <sz val="10"/>
        <rFont val="Arial"/>
        <family val="2"/>
        <charset val="238"/>
      </rPr>
      <t xml:space="preserve"> Increasion of waste Errors at Output Inspection       Customer complaint</t>
    </r>
  </si>
  <si>
    <r>
      <t xml:space="preserve">Parametri litja                </t>
    </r>
    <r>
      <rPr>
        <sz val="10"/>
        <rFont val="Arial"/>
        <family val="2"/>
        <charset val="238"/>
      </rPr>
      <t xml:space="preserve">      Die casting parameters</t>
    </r>
  </si>
  <si>
    <r>
      <t>Očna kontrola po planu kontrole na DM
Čiščenje , popravilo orodja
Kontrola parametrov litja</t>
    </r>
    <r>
      <rPr>
        <sz val="10"/>
        <rFont val="Arial"/>
        <family val="2"/>
        <charset val="238"/>
      </rPr>
      <t xml:space="preserve">                    Visual control according to a Q-Plan  Mould cleaning and repairs        Die casting parameters control</t>
    </r>
  </si>
  <si>
    <r>
      <rPr>
        <b/>
        <sz val="10"/>
        <rFont val="Arial"/>
        <family val="2"/>
        <charset val="238"/>
      </rPr>
      <t xml:space="preserve">Tlačno litje   </t>
    </r>
    <r>
      <rPr>
        <sz val="10"/>
        <rFont val="Arial"/>
        <family val="2"/>
        <charset val="238"/>
      </rPr>
      <t xml:space="preserve">                                       Die casting</t>
    </r>
  </si>
  <si>
    <r>
      <t>Odtrganost</t>
    </r>
    <r>
      <rPr>
        <sz val="10"/>
        <rFont val="Arial"/>
        <family val="2"/>
        <charset val="238"/>
      </rPr>
      <t xml:space="preserve">            Fracture</t>
    </r>
  </si>
  <si>
    <r>
      <t>Poškodba orodja</t>
    </r>
    <r>
      <rPr>
        <sz val="10"/>
        <rFont val="Arial"/>
        <family val="2"/>
        <charset val="238"/>
      </rPr>
      <t xml:space="preserve">                  Mould damage</t>
    </r>
  </si>
  <si>
    <r>
      <t>Razpoka</t>
    </r>
    <r>
      <rPr>
        <sz val="10"/>
        <rFont val="Arial"/>
        <family val="2"/>
        <charset val="238"/>
      </rPr>
      <t xml:space="preserve">                 Crack</t>
    </r>
  </si>
  <si>
    <r>
      <t>Podrgnjena vela</t>
    </r>
    <r>
      <rPr>
        <sz val="10"/>
        <rFont val="Arial"/>
        <family val="2"/>
        <charset val="238"/>
      </rPr>
      <t xml:space="preserve">     Damaged axis</t>
    </r>
  </si>
  <si>
    <r>
      <t xml:space="preserve">Dimenzijska odstopanja               </t>
    </r>
    <r>
      <rPr>
        <sz val="10"/>
        <rFont val="Arial"/>
        <family val="2"/>
        <charset val="238"/>
      </rPr>
      <t>Dimensional tolerances/deviations</t>
    </r>
  </si>
  <si>
    <r>
      <rPr>
        <b/>
        <sz val="10"/>
        <rFont val="Arial"/>
        <family val="2"/>
        <charset val="238"/>
      </rPr>
      <t>Tlačno litje in odvzem</t>
    </r>
    <r>
      <rPr>
        <sz val="10"/>
        <rFont val="Arial"/>
        <family val="2"/>
        <charset val="238"/>
      </rPr>
      <t xml:space="preserve">                                 Die casting and manual withdrawal</t>
    </r>
  </si>
  <si>
    <r>
      <rPr>
        <b/>
        <sz val="10"/>
        <rFont val="Arial"/>
        <family val="2"/>
        <charset val="238"/>
      </rPr>
      <t>Tlačno litje in mazanje</t>
    </r>
    <r>
      <rPr>
        <sz val="10"/>
        <rFont val="Arial"/>
        <family val="2"/>
        <charset val="238"/>
      </rPr>
      <t xml:space="preserve">                                 Die casting and manual lubrication</t>
    </r>
  </si>
  <si>
    <r>
      <rPr>
        <b/>
        <sz val="10"/>
        <rFont val="Arial"/>
        <family val="2"/>
        <charset val="238"/>
      </rPr>
      <t>Obrez</t>
    </r>
    <r>
      <rPr>
        <sz val="10"/>
        <rFont val="Arial"/>
        <family val="2"/>
        <charset val="238"/>
      </rPr>
      <t xml:space="preserve">                                                                             Machine cutting</t>
    </r>
  </si>
  <si>
    <r>
      <t xml:space="preserve">
Izgled kosa
</t>
    </r>
    <r>
      <rPr>
        <sz val="10"/>
        <rFont val="Arial"/>
        <family val="2"/>
        <charset val="238"/>
      </rPr>
      <t xml:space="preserve">                                   Article/Part appearance</t>
    </r>
  </si>
  <si>
    <r>
      <t xml:space="preserve">Parametri litja                </t>
    </r>
    <r>
      <rPr>
        <sz val="10"/>
        <rFont val="Arial"/>
        <family val="2"/>
        <charset val="238"/>
      </rPr>
      <t xml:space="preserve">     Die casting parameters</t>
    </r>
  </si>
  <si>
    <r>
      <t>Nadzor 
odgovorne osebe, kontrola parametrov litja, očna kontrola po planu kontrole na DM</t>
    </r>
    <r>
      <rPr>
        <sz val="10"/>
        <rFont val="Arial"/>
        <family val="2"/>
        <charset val="238"/>
      </rPr>
      <t xml:space="preserve">         Responsible person supervision,           Die casting parameters control,   Visual control according to Q-Plan</t>
    </r>
  </si>
  <si>
    <r>
      <t>Odlomljeno jedro</t>
    </r>
    <r>
      <rPr>
        <sz val="10"/>
        <rFont val="Arial"/>
        <family val="2"/>
        <charset val="238"/>
      </rPr>
      <t xml:space="preserve">    Broken/Detached core</t>
    </r>
  </si>
  <si>
    <r>
      <t xml:space="preserve">Udarjenost </t>
    </r>
    <r>
      <rPr>
        <sz val="10"/>
        <rFont val="Arial"/>
        <family val="2"/>
        <charset val="238"/>
      </rPr>
      <t xml:space="preserve">              Periosteal/Impact</t>
    </r>
  </si>
  <si>
    <r>
      <t>Kalibracija lukenj in brušenje</t>
    </r>
    <r>
      <rPr>
        <sz val="10"/>
        <rFont val="Arial"/>
        <family val="2"/>
        <charset val="238"/>
      </rPr>
      <t xml:space="preserve">                                                                     Hole calibration and griding</t>
    </r>
  </si>
  <si>
    <r>
      <t>Nadzor 
odgovorne osebe, kontrola parametrov litja, očna kontrola po planu kontrole na DM</t>
    </r>
    <r>
      <rPr>
        <sz val="10"/>
        <rFont val="Arial"/>
        <family val="2"/>
        <charset val="238"/>
      </rPr>
      <t xml:space="preserve">            Responsible person supervision,           Die casting parameters control,   Visual control according to Q-Plan</t>
    </r>
  </si>
  <si>
    <r>
      <t>Ročno lomljenje in žaganje odlitka</t>
    </r>
    <r>
      <rPr>
        <sz val="10"/>
        <rFont val="Arial"/>
        <family val="2"/>
        <charset val="238"/>
      </rPr>
      <t xml:space="preserve">                                                                     Manual cast breaking and sawing</t>
    </r>
  </si>
  <si>
    <r>
      <t xml:space="preserve">       </t>
    </r>
    <r>
      <rPr>
        <b/>
        <sz val="10"/>
        <rFont val="Arial"/>
        <family val="2"/>
        <charset val="238"/>
      </rPr>
      <t>Obrez</t>
    </r>
    <r>
      <rPr>
        <sz val="10"/>
        <rFont val="Arial"/>
        <family val="2"/>
        <charset val="238"/>
      </rPr>
      <t xml:space="preserve">                                                                             Machine cutting</t>
    </r>
  </si>
  <si>
    <r>
      <t xml:space="preserve">Parametri litja                </t>
    </r>
    <r>
      <rPr>
        <sz val="10"/>
        <rFont val="Arial"/>
        <family val="2"/>
        <charset val="238"/>
      </rPr>
      <t xml:space="preserve">   Die casting parameters</t>
    </r>
  </si>
  <si>
    <r>
      <rPr>
        <b/>
        <sz val="10"/>
        <rFont val="Arial"/>
        <family val="2"/>
        <charset val="238"/>
      </rPr>
      <t>Strojno brušenje</t>
    </r>
    <r>
      <rPr>
        <sz val="10"/>
        <rFont val="Arial"/>
        <family val="2"/>
        <charset val="238"/>
      </rPr>
      <t xml:space="preserve">                                                                   Machine griding</t>
    </r>
  </si>
  <si>
    <r>
      <t>Ostanki špen</t>
    </r>
    <r>
      <rPr>
        <sz val="10"/>
        <rFont val="Arial"/>
        <family val="2"/>
        <charset val="238"/>
      </rPr>
      <t xml:space="preserve">         Chip remains</t>
    </r>
  </si>
  <si>
    <r>
      <t xml:space="preserve">                                                                Reklamacija kupca</t>
    </r>
    <r>
      <rPr>
        <sz val="10"/>
        <rFont val="Arial"/>
        <family val="2"/>
        <charset val="238"/>
      </rPr>
      <t xml:space="preserve">      Customer Complaint</t>
    </r>
  </si>
  <si>
    <r>
      <rPr>
        <b/>
        <sz val="10"/>
        <rFont val="Arial"/>
        <family val="2"/>
        <charset val="238"/>
      </rPr>
      <t xml:space="preserve">Parametri litja, mazanje orodja            </t>
    </r>
    <r>
      <rPr>
        <sz val="10"/>
        <rFont val="Arial"/>
        <family val="2"/>
        <charset val="238"/>
      </rPr>
      <t xml:space="preserve">                        Die casting parameters, Mould lubrication</t>
    </r>
  </si>
  <si>
    <r>
      <t xml:space="preserve">Udarjenost  </t>
    </r>
    <r>
      <rPr>
        <sz val="10"/>
        <rFont val="Arial"/>
        <family val="2"/>
        <charset val="238"/>
      </rPr>
      <t xml:space="preserve">             Periosteal/Impact</t>
    </r>
  </si>
  <si>
    <r>
      <rPr>
        <b/>
        <sz val="10"/>
        <rFont val="Arial"/>
        <family val="2"/>
        <charset val="238"/>
      </rPr>
      <t>Ročno poliranje</t>
    </r>
    <r>
      <rPr>
        <sz val="10"/>
        <rFont val="Arial"/>
        <family val="2"/>
        <charset val="238"/>
      </rPr>
      <t xml:space="preserve">                            Manual polishing</t>
    </r>
  </si>
  <si>
    <r>
      <t>Udarjenost</t>
    </r>
    <r>
      <rPr>
        <sz val="10"/>
        <rFont val="Arial"/>
        <family val="2"/>
        <charset val="238"/>
      </rPr>
      <t xml:space="preserve">              Periosteal/Impact</t>
    </r>
  </si>
  <si>
    <r>
      <t xml:space="preserve">Izgled kosa
</t>
    </r>
    <r>
      <rPr>
        <sz val="10"/>
        <rFont val="Arial"/>
        <family val="2"/>
        <charset val="238"/>
      </rPr>
      <t xml:space="preserve">                                   Article/Part appearance</t>
    </r>
  </si>
  <si>
    <r>
      <t>Nepazljivost na predhodnjih  operacijah</t>
    </r>
    <r>
      <rPr>
        <sz val="10"/>
        <rFont val="Arial"/>
        <family val="2"/>
        <charset val="238"/>
      </rPr>
      <t xml:space="preserve">             Innatention at the previous task operations</t>
    </r>
  </si>
  <si>
    <r>
      <t>Umazanost</t>
    </r>
    <r>
      <rPr>
        <sz val="10"/>
        <rFont val="Arial"/>
        <family val="2"/>
        <charset val="238"/>
      </rPr>
      <t xml:space="preserve">   Ostanek Srha    </t>
    </r>
  </si>
  <si>
    <r>
      <t xml:space="preserve"> </t>
    </r>
    <r>
      <rPr>
        <b/>
        <sz val="10"/>
        <rFont val="Arial"/>
        <family val="2"/>
        <charset val="238"/>
      </rPr>
      <t xml:space="preserve">100 % Vizualna           kontrola in             pakiranje </t>
    </r>
    <r>
      <rPr>
        <sz val="10"/>
        <rFont val="Arial"/>
        <family val="2"/>
        <charset val="238"/>
      </rPr>
      <t xml:space="preserve">     </t>
    </r>
    <r>
      <rPr>
        <sz val="10"/>
        <color indexed="8"/>
        <rFont val="Arial"/>
        <family val="2"/>
        <charset val="238"/>
      </rPr>
      <t xml:space="preserve">                                                                    100 % check and packing</t>
    </r>
  </si>
  <si>
    <r>
      <t>Nepazljivost na predhodnjih  operacijah</t>
    </r>
    <r>
      <rPr>
        <sz val="10"/>
        <rFont val="Arial"/>
        <family val="2"/>
        <charset val="238"/>
      </rPr>
      <t xml:space="preserve">     Innatention at the previous task operations</t>
    </r>
  </si>
  <si>
    <r>
      <t>Umazanost</t>
    </r>
    <r>
      <rPr>
        <sz val="10"/>
        <rFont val="Arial"/>
        <family val="2"/>
        <charset val="238"/>
      </rPr>
      <t xml:space="preserve"> Ostanek Srha    </t>
    </r>
  </si>
  <si>
    <r>
      <t>Kontrola višin                križev</t>
    </r>
    <r>
      <rPr>
        <sz val="10"/>
        <rFont val="Arial"/>
        <family val="2"/>
        <charset val="238"/>
      </rPr>
      <t xml:space="preserve">                                  Cross height control</t>
    </r>
  </si>
  <si>
    <r>
      <t>Nepazljivost na predhodnjih  operacijah</t>
    </r>
    <r>
      <rPr>
        <sz val="10"/>
        <rFont val="Arial"/>
        <family val="2"/>
        <charset val="238"/>
      </rPr>
      <t xml:space="preserve">                Innatention at the previous task operations</t>
    </r>
  </si>
  <si>
    <r>
      <t xml:space="preserve">Zračnost na veli    </t>
    </r>
    <r>
      <rPr>
        <sz val="10"/>
        <rFont val="Arial"/>
        <family val="2"/>
        <charset val="238"/>
      </rPr>
      <t xml:space="preserve">  Backclash on axis</t>
    </r>
  </si>
  <si>
    <r>
      <t>Odlomljeno jedro</t>
    </r>
    <r>
      <rPr>
        <sz val="10"/>
        <color indexed="8"/>
        <rFont val="Arial"/>
        <family val="2"/>
        <charset val="238"/>
      </rPr>
      <t xml:space="preserve">    Broken/Detached core</t>
    </r>
  </si>
  <si>
    <r>
      <t xml:space="preserve">Počenost                </t>
    </r>
    <r>
      <rPr>
        <sz val="10"/>
        <rFont val="Arial"/>
        <family val="2"/>
        <charset val="238"/>
      </rPr>
      <t xml:space="preserve">  Cracked structure</t>
    </r>
  </si>
  <si>
    <r>
      <t xml:space="preserve"> CNC obdelava               kosa</t>
    </r>
    <r>
      <rPr>
        <sz val="10"/>
        <rFont val="Arial"/>
        <family val="2"/>
        <charset val="238"/>
      </rPr>
      <t xml:space="preserve">                                                                            CNC Machining</t>
    </r>
  </si>
  <si>
    <r>
      <rPr>
        <b/>
        <sz val="10"/>
        <rFont val="Arial"/>
        <family val="2"/>
        <charset val="238"/>
      </rPr>
      <t xml:space="preserve">Udarjenost </t>
    </r>
    <r>
      <rPr>
        <sz val="10"/>
        <rFont val="Arial"/>
        <family val="2"/>
        <charset val="238"/>
      </rPr>
      <t xml:space="preserve">              Periosteal/Impact</t>
    </r>
  </si>
  <si>
    <r>
      <t>Reklamacije kupca
Motnje pri kupcu</t>
    </r>
    <r>
      <rPr>
        <sz val="10"/>
        <rFont val="Arial"/>
        <family val="2"/>
        <charset val="238"/>
      </rPr>
      <t xml:space="preserve">                                        Customer Complaint      Disruptions for customer</t>
    </r>
  </si>
  <si>
    <r>
      <t>Umazanost Ostanek
Srha</t>
    </r>
    <r>
      <rPr>
        <sz val="10"/>
        <rFont val="Arial"/>
        <family val="2"/>
        <charset val="238"/>
      </rPr>
      <t xml:space="preserve">    </t>
    </r>
  </si>
  <si>
    <r>
      <t xml:space="preserve">100 % Vizualna           kontrola in             pakiranje      </t>
    </r>
    <r>
      <rPr>
        <sz val="10"/>
        <rFont val="Arial"/>
        <family val="2"/>
        <charset val="238"/>
      </rPr>
      <t xml:space="preserve">                                                                    100 % check and packing</t>
    </r>
  </si>
  <si>
    <r>
      <t>Nepazljivost na predhodnjih  operacijah</t>
    </r>
    <r>
      <rPr>
        <sz val="10"/>
        <rFont val="Arial"/>
        <family val="2"/>
        <charset val="238"/>
      </rPr>
      <t xml:space="preserve">              Innatention at the previous task operations</t>
    </r>
  </si>
  <si>
    <r>
      <t>Nepravilno Ulit</t>
    </r>
    <r>
      <rPr>
        <sz val="10"/>
        <rFont val="Arial"/>
        <family val="2"/>
        <charset val="238"/>
      </rPr>
      <t xml:space="preserve">      Improperly casted</t>
    </r>
  </si>
  <si>
    <r>
      <t xml:space="preserve"> Trovaliranje      </t>
    </r>
    <r>
      <rPr>
        <sz val="10"/>
        <rFont val="Arial"/>
        <family val="2"/>
        <charset val="238"/>
      </rPr>
      <t xml:space="preserve">                                                                Machine deburring Trowal</t>
    </r>
  </si>
  <si>
    <r>
      <t xml:space="preserve">       Odprema </t>
    </r>
    <r>
      <rPr>
        <sz val="10"/>
        <rFont val="Arial"/>
        <family val="2"/>
        <charset val="238"/>
      </rPr>
      <t xml:space="preserve">                                                                     Dispatch</t>
    </r>
  </si>
  <si>
    <r>
      <t>Nepravilno označeno</t>
    </r>
    <r>
      <rPr>
        <sz val="10"/>
        <rFont val="Arial"/>
        <family val="2"/>
        <charset val="238"/>
      </rPr>
      <t xml:space="preserve">      Incorrectly marked </t>
    </r>
  </si>
  <si>
    <r>
      <t>Jasna navodila
za pakiranje
Konèni pregled pred odpremo</t>
    </r>
    <r>
      <rPr>
        <sz val="10"/>
        <rFont val="Arial"/>
        <family val="2"/>
        <charset val="238"/>
      </rPr>
      <t xml:space="preserve">    Clear instructions for packaging,       Output Inspection before dispatching</t>
    </r>
  </si>
  <si>
    <r>
      <t xml:space="preserve">Poškodba embalaže      </t>
    </r>
    <r>
      <rPr>
        <sz val="10"/>
        <rFont val="Arial"/>
        <family val="2"/>
        <charset val="238"/>
      </rPr>
      <t>Damaged package</t>
    </r>
  </si>
  <si>
    <r>
      <t xml:space="preserve">Spremna dokumentacija        </t>
    </r>
    <r>
      <rPr>
        <sz val="10"/>
        <rFont val="Arial"/>
        <family val="2"/>
        <charset val="238"/>
      </rPr>
      <t>Support documentation</t>
    </r>
  </si>
  <si>
    <t>015</t>
  </si>
  <si>
    <t>Machine debburing - Trowal</t>
  </si>
  <si>
    <t>Periosteal/Impact - edges of a part</t>
  </si>
  <si>
    <t>Damaged parts</t>
  </si>
  <si>
    <t>Increasing of waste and cost, Customer complanit, later failures at assembly and montage lines, mechanical functionalities</t>
  </si>
  <si>
    <t>Lack of debburing stones</t>
  </si>
  <si>
    <t>Maintenance of machine</t>
  </si>
  <si>
    <t>Remainder, residue burr</t>
  </si>
  <si>
    <t>Unleaned debburing machine</t>
  </si>
  <si>
    <t>Cleaning of machine</t>
  </si>
  <si>
    <t>020</t>
  </si>
  <si>
    <t>End Inspection on CMM and 100% Visual control and packaging</t>
  </si>
  <si>
    <t>Apperance of a part, mechanical errors</t>
  </si>
  <si>
    <t>Customer cost - damage parts,  later failures at assembly and montage lines, damaged parts, mechanical functionality problems at customer</t>
  </si>
  <si>
    <t>Carless sorting of parts</t>
  </si>
  <si>
    <t>Visual control</t>
  </si>
  <si>
    <t>Bad cooling and cleaning process</t>
  </si>
  <si>
    <t>Cleaning of parts</t>
  </si>
  <si>
    <t>Dimensional tolerances according to drawing</t>
  </si>
  <si>
    <t>Dimensional defects, mechanical funcionality problems</t>
  </si>
  <si>
    <t>Detection at previous steps of operations, caliper control failure</t>
  </si>
  <si>
    <t>CMM inspection</t>
  </si>
  <si>
    <t>025</t>
  </si>
  <si>
    <t>Delivery</t>
  </si>
  <si>
    <t>Incorrectly marked and sorted</t>
  </si>
  <si>
    <t>Error at indentitifaction of a shipment</t>
  </si>
  <si>
    <t>Customer complaint</t>
  </si>
  <si>
    <t>Carless marking and sorting of parts</t>
  </si>
  <si>
    <t>Output inspection</t>
  </si>
  <si>
    <t>Damaged package</t>
  </si>
  <si>
    <t>Transportation failure, package protection failure</t>
  </si>
  <si>
    <t>Transport and support documentation</t>
  </si>
  <si>
    <t>Incomplete documents</t>
  </si>
  <si>
    <t>Lack of documentation, resources</t>
  </si>
  <si>
    <t>001</t>
  </si>
  <si>
    <t>Material income inspection</t>
  </si>
  <si>
    <t>Spectrometer</t>
  </si>
  <si>
    <t>Material chemical propreties</t>
  </si>
  <si>
    <t>Chemical elements, Testing of material to check material characteristics with spectrometer according to ANSI/AA 413.0</t>
  </si>
  <si>
    <t>Supplier certificate, ISO sample certificate</t>
  </si>
  <si>
    <t>1 ingot</t>
  </si>
  <si>
    <t>1 Material lot</t>
  </si>
  <si>
    <t>Manual inspection, Spectroanalisys</t>
  </si>
  <si>
    <t>1. Contoller quarantines material delivery and checks material chemical structure, charge and suppliers certificate. Starts with spectroanalisys.                  2. Operator informs supervisor, check furnace temperature parameters.              3. Maintenance team checks cause of failure. With known cause of failure starts with corrective actions.</t>
  </si>
  <si>
    <t>Material cleanliness</t>
  </si>
  <si>
    <t>1 bundle</t>
  </si>
  <si>
    <t>Melting</t>
  </si>
  <si>
    <t>Furnace, thermal sensor</t>
  </si>
  <si>
    <t>Melting temperature</t>
  </si>
  <si>
    <t>Melting of material at 720°C</t>
  </si>
  <si>
    <t>Manual inspection</t>
  </si>
  <si>
    <t>1 check</t>
  </si>
  <si>
    <t>At melting start</t>
  </si>
  <si>
    <t>Die casting machine, robot cell, press machine setup</t>
  </si>
  <si>
    <t>Die Casting machine L 400/1</t>
  </si>
  <si>
    <t>OK/ Not OK</t>
  </si>
  <si>
    <t>Setup instructions</t>
  </si>
  <si>
    <t>At setup/start</t>
  </si>
  <si>
    <t>Check Sheet</t>
  </si>
  <si>
    <t>1. Operator and tool mechanic check the machine parameters and setup elements. Operator holds the process and notifies supervisor.                            2. Maintenance team starts with identification of failure and starts with corrective action.</t>
  </si>
  <si>
    <t>Die casting</t>
  </si>
  <si>
    <t>Manual Inspection</t>
  </si>
  <si>
    <t>1 x</t>
  </si>
  <si>
    <t>Per 1 shift</t>
  </si>
  <si>
    <t>Visual inspection</t>
  </si>
  <si>
    <t>Press Cutting/Manual cutting</t>
  </si>
  <si>
    <t>Press machine, cutting tool</t>
  </si>
  <si>
    <t>Broken/Detached core</t>
  </si>
  <si>
    <t>Visual check, bad parts list</t>
  </si>
  <si>
    <t>1.Operator holds the process, checks the parameters. Reports to supervisor.                2. Maintenance team checks for machine, tools and process causes of failure. Resets the process.                                3. Controller identifies failures on parts, remarks and records the cause of failure.</t>
  </si>
  <si>
    <t>Inspection</t>
  </si>
  <si>
    <t>Caliper Mitutoyo Absolute IP67</t>
  </si>
  <si>
    <t>Diameter at C-2</t>
  </si>
  <si>
    <t>Ø 14 -0,2 mm</t>
  </si>
  <si>
    <t>2 parts per Nest</t>
  </si>
  <si>
    <t>3 times per Day</t>
  </si>
  <si>
    <t>Caliper control - SPC</t>
  </si>
  <si>
    <t>Dimension at B-2</t>
  </si>
  <si>
    <t>Ø 6,1 -0,1 mm</t>
  </si>
  <si>
    <t>X-RAY Machine</t>
  </si>
  <si>
    <t>X-ray machine control/Visual inspection</t>
  </si>
  <si>
    <t>1 Day</t>
  </si>
  <si>
    <t>1st Cast approval/MR_chart</t>
  </si>
  <si>
    <t>Material interial structure</t>
  </si>
  <si>
    <t>Machine deburring - Trowal</t>
  </si>
  <si>
    <t xml:space="preserve">Deburring Machine </t>
  </si>
  <si>
    <t>on 4 h</t>
  </si>
  <si>
    <t>Production hold, parameters check. Operator reports to supervisor</t>
  </si>
  <si>
    <t>Packaging table</t>
  </si>
  <si>
    <t>Operator reports to supervisor and quality control. Operator starts sorting parts according to bad part list.</t>
  </si>
  <si>
    <t>3D machine Zeiss</t>
  </si>
  <si>
    <t>Dimensions, diameters, radius</t>
  </si>
  <si>
    <t>Tolerances according to ISO 8062</t>
  </si>
  <si>
    <t>Drawing 442710181970</t>
  </si>
  <si>
    <t>CMM control</t>
  </si>
  <si>
    <t>Controller reports the critical dimensions to supperiors and customer's quality control. Controller updates the drawing and marks the critical dimensions on drawing. After measurement, controller sends measuring report or certificate with documents (according to customer's demand) to customer for further information and approval inspection of  a part.</t>
  </si>
  <si>
    <t>Dimension at A-2</t>
  </si>
  <si>
    <t>17,6 mm</t>
  </si>
  <si>
    <t>CMM control plan program</t>
  </si>
  <si>
    <t>1 part per Nest</t>
  </si>
  <si>
    <t>1 day</t>
  </si>
  <si>
    <t>7,7 mm</t>
  </si>
  <si>
    <t>11,5 mm</t>
  </si>
  <si>
    <t>Diameter at A-4</t>
  </si>
  <si>
    <t>3,7°</t>
  </si>
  <si>
    <t>22,7 mm</t>
  </si>
  <si>
    <t>Dimension at A-6</t>
  </si>
  <si>
    <t>43,8 mm</t>
  </si>
  <si>
    <t>25,3 mm</t>
  </si>
  <si>
    <t>Dimension at B-1</t>
  </si>
  <si>
    <t>35,0 mm</t>
  </si>
  <si>
    <t>Angle at B-2</t>
  </si>
  <si>
    <t>10°</t>
  </si>
  <si>
    <t>Diameter at B-2</t>
  </si>
  <si>
    <t>Ø  6,1 -0,1 mm</t>
  </si>
  <si>
    <t>Ø 11 mm</t>
  </si>
  <si>
    <t>Angle at B-3</t>
  </si>
  <si>
    <t>4°</t>
  </si>
  <si>
    <t>Dimension at B-3</t>
  </si>
  <si>
    <t>9,1 mm</t>
  </si>
  <si>
    <t>10 mm</t>
  </si>
  <si>
    <t>Dimension at B-4</t>
  </si>
  <si>
    <t>15,1 mm</t>
  </si>
  <si>
    <t>Dimension at B-6</t>
  </si>
  <si>
    <t>61,1 mm</t>
  </si>
  <si>
    <t>Dimension at C-2</t>
  </si>
  <si>
    <t>7,8 mm</t>
  </si>
  <si>
    <t>Dimension at C-5</t>
  </si>
  <si>
    <t>Dimension at D-1</t>
  </si>
  <si>
    <t>10,8 mm</t>
  </si>
  <si>
    <t>Dimension at D-2</t>
  </si>
  <si>
    <t>Angle at D-2</t>
  </si>
  <si>
    <t>Radius at D-2</t>
  </si>
  <si>
    <t>R 2</t>
  </si>
  <si>
    <t>Angle and Radius at D-3</t>
  </si>
  <si>
    <t>7 x 5°</t>
  </si>
  <si>
    <t>Angle at D-3</t>
  </si>
  <si>
    <t>25°</t>
  </si>
  <si>
    <t>Dimension at D-4</t>
  </si>
  <si>
    <t>54,3 mm</t>
  </si>
  <si>
    <t>Angle at D-4</t>
  </si>
  <si>
    <t>Angle and Radius at D-4</t>
  </si>
  <si>
    <t>Diameter at E-3</t>
  </si>
  <si>
    <t>Ø 55,6 mm</t>
  </si>
  <si>
    <t>Dimension at E-4</t>
  </si>
  <si>
    <t>17,4 mm</t>
  </si>
  <si>
    <t>Delivery / Output Inspection</t>
  </si>
  <si>
    <t>Box/Bundle/Cardboard box</t>
  </si>
  <si>
    <t>Charges, sorting numbers etc..</t>
  </si>
  <si>
    <t>Packaging instruction</t>
  </si>
  <si>
    <t>Visual check, Output inspection</t>
  </si>
  <si>
    <t>Operator quarantines bad packages and checks the status of parts, starts repackaging and marks new packages. Administration team prepares re-checks the documentation and adds new documentation.</t>
  </si>
  <si>
    <t>Computer, printer, programs</t>
  </si>
  <si>
    <t>Certificates, CMR, other documentation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</si>
</sst>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m/yyyy"/>
    <numFmt numFmtId="165" formatCode="000"/>
    <numFmt numFmtId="166" formatCode="#,##0.00\ [$€-424];[Red]\-#,##0.00\ [$€-424]"/>
  </numFmts>
  <fonts count="65">
    <font>
      <sz val="10"/>
      <name val="Arial"/>
      <family val="2"/>
    </font>
    <font>
      <b/>
      <sz val="10"/>
      <name val="Geneva"/>
    </font>
    <font>
      <b/>
      <sz val="10"/>
      <name val="Arial"/>
      <family val="2"/>
    </font>
    <font>
      <u/>
      <sz val="10"/>
      <color indexed="12"/>
      <name val="Geneva"/>
    </font>
    <font>
      <sz val="7"/>
      <name val="Arial"/>
      <family val="2"/>
    </font>
    <font>
      <sz val="10"/>
      <name val="Arial"/>
      <family val="2"/>
    </font>
    <font>
      <sz val="6"/>
      <name val="Arial"/>
      <family val="2"/>
    </font>
    <font>
      <sz val="8"/>
      <name val="Arial"/>
      <family val="2"/>
    </font>
    <font>
      <sz val="6"/>
      <color indexed="9"/>
      <name val="Arial"/>
      <family val="2"/>
    </font>
    <font>
      <sz val="10"/>
      <color indexed="8"/>
      <name val="Arial"/>
      <family val="2"/>
    </font>
    <font>
      <b/>
      <sz val="12"/>
      <name val="Arial"/>
      <family val="2"/>
    </font>
    <font>
      <sz val="7"/>
      <color indexed="9"/>
      <name val="Arial"/>
      <family val="2"/>
    </font>
    <font>
      <b/>
      <sz val="7"/>
      <name val="Arial"/>
      <family val="2"/>
    </font>
    <font>
      <b/>
      <sz val="9"/>
      <name val="Arial"/>
      <family val="2"/>
    </font>
    <font>
      <b/>
      <sz val="7"/>
      <color indexed="9"/>
      <name val="Arial"/>
      <family val="2"/>
    </font>
    <font>
      <sz val="12"/>
      <name val="Arial"/>
      <family val="2"/>
    </font>
    <font>
      <i/>
      <sz val="10"/>
      <color indexed="10"/>
      <name val="Arial"/>
      <family val="2"/>
    </font>
    <font>
      <b/>
      <i/>
      <sz val="10"/>
      <name val="Arial"/>
      <family val="2"/>
    </font>
    <font>
      <b/>
      <sz val="8"/>
      <color indexed="81"/>
      <name val="Tahoma"/>
      <family val="2"/>
      <charset val="238"/>
    </font>
    <font>
      <sz val="8"/>
      <color indexed="81"/>
      <name val="Tahoma"/>
      <family val="2"/>
      <charset val="238"/>
    </font>
    <font>
      <sz val="8"/>
      <color rgb="FF000000"/>
      <name val="Tahoma"/>
      <family val="2"/>
      <charset val="238"/>
    </font>
    <font>
      <sz val="12"/>
      <color rgb="FF000000"/>
      <name val="System"/>
    </font>
    <font>
      <sz val="8"/>
      <color rgb="FF000000"/>
      <name val="Arial"/>
      <family val="2"/>
      <charset val="238"/>
    </font>
    <font>
      <sz val="10"/>
      <name val="Arial"/>
      <family val="2"/>
      <charset val="1"/>
    </font>
    <font>
      <b/>
      <sz val="13"/>
      <name val="Arial"/>
      <family val="2"/>
      <charset val="1"/>
    </font>
    <font>
      <sz val="8"/>
      <name val="Arial"/>
      <family val="2"/>
      <charset val="1"/>
    </font>
    <font>
      <b/>
      <sz val="8"/>
      <name val="Arial"/>
      <family val="2"/>
      <charset val="238"/>
    </font>
    <font>
      <sz val="6"/>
      <name val="Arial"/>
      <family val="2"/>
      <charset val="1"/>
    </font>
    <font>
      <sz val="6"/>
      <name val="Arial"/>
      <family val="2"/>
      <charset val="238"/>
    </font>
    <font>
      <sz val="10"/>
      <color indexed="12"/>
      <name val="Arial"/>
      <family val="2"/>
      <charset val="1"/>
    </font>
    <font>
      <b/>
      <sz val="8"/>
      <color indexed="12"/>
      <name val="Arial"/>
      <family val="2"/>
      <charset val="238"/>
    </font>
    <font>
      <sz val="10"/>
      <color indexed="12"/>
      <name val="Arial"/>
      <family val="2"/>
      <charset val="238"/>
    </font>
    <font>
      <b/>
      <sz val="7"/>
      <name val="Arial"/>
      <family val="2"/>
      <charset val="238"/>
    </font>
    <font>
      <sz val="7"/>
      <name val="Arial"/>
      <family val="2"/>
      <charset val="238"/>
    </font>
    <font>
      <sz val="7"/>
      <name val="Arial"/>
      <family val="2"/>
      <charset val="1"/>
    </font>
    <font>
      <sz val="8"/>
      <name val="Symbol"/>
      <family val="1"/>
      <charset val="2"/>
    </font>
    <font>
      <sz val="12"/>
      <name val="Times New Roman"/>
      <family val="1"/>
      <charset val="238"/>
    </font>
    <font>
      <b/>
      <sz val="12"/>
      <name val="Times New Roman"/>
      <family val="1"/>
      <charset val="238"/>
    </font>
    <font>
      <b/>
      <sz val="10"/>
      <name val="Times New Roman"/>
      <family val="1"/>
      <charset val="238"/>
    </font>
    <font>
      <sz val="8"/>
      <name val="Times New Roman"/>
      <family val="1"/>
      <charset val="238"/>
    </font>
    <font>
      <sz val="10"/>
      <name val="Times New Roman"/>
      <family val="1"/>
      <charset val="238"/>
    </font>
    <font>
      <sz val="6"/>
      <name val="Times New Roman"/>
      <family val="1"/>
      <charset val="238"/>
    </font>
    <font>
      <sz val="8"/>
      <name val="Arial"/>
      <family val="2"/>
      <charset val="238"/>
    </font>
    <font>
      <sz val="8"/>
      <color indexed="8"/>
      <name val="Arial"/>
      <family val="2"/>
      <charset val="238"/>
    </font>
    <font>
      <b/>
      <sz val="12"/>
      <name val="Arial"/>
      <family val="2"/>
      <charset val="238"/>
    </font>
    <font>
      <b/>
      <sz val="18"/>
      <name val="Arial"/>
      <family val="2"/>
      <charset val="238"/>
    </font>
    <font>
      <sz val="8"/>
      <name val="Arial"/>
      <family val="2"/>
      <charset val="238"/>
    </font>
    <font>
      <b/>
      <sz val="8"/>
      <name val="Arial"/>
      <family val="2"/>
      <charset val="238"/>
    </font>
    <font>
      <sz val="10"/>
      <name val="Arial"/>
      <family val="2"/>
      <charset val="238"/>
    </font>
    <font>
      <sz val="10"/>
      <name val="Arial"/>
      <family val="2"/>
    </font>
    <font>
      <b/>
      <sz val="10"/>
      <name val="Arial"/>
      <family val="2"/>
      <charset val="238"/>
    </font>
    <font>
      <sz val="10"/>
      <color indexed="8"/>
      <name val="Arial"/>
      <family val="2"/>
      <charset val="238"/>
    </font>
    <font>
      <b/>
      <sz val="8"/>
      <color indexed="8"/>
      <name val="Arial"/>
      <family val="2"/>
      <charset val="238"/>
    </font>
    <font>
      <sz val="8"/>
      <color indexed="8"/>
      <name val="Arial"/>
      <family val="2"/>
      <charset val="238"/>
    </font>
    <font>
      <b/>
      <sz val="10"/>
      <color indexed="8"/>
      <name val="Calibri"/>
      <family val="2"/>
      <charset val="238"/>
      <scheme val="minor"/>
    </font>
    <font>
      <sz val="10"/>
      <name val="Calibri"/>
      <family val="2"/>
      <charset val="238"/>
      <scheme val="minor"/>
    </font>
    <font>
      <sz val="10"/>
      <color indexed="8"/>
      <name val="Calibri"/>
      <family val="2"/>
      <charset val="238"/>
      <scheme val="minor"/>
    </font>
    <font>
      <sz val="10"/>
      <color indexed="8"/>
      <name val="Calibri"/>
      <family val="2"/>
      <charset val="1"/>
    </font>
    <font>
      <b/>
      <sz val="10"/>
      <name val="Calibri"/>
      <family val="2"/>
      <charset val="1"/>
    </font>
    <font>
      <sz val="12"/>
      <name val="Times New Roman"/>
      <family val="1"/>
      <charset val="238"/>
    </font>
    <font>
      <sz val="10"/>
      <name val="Arial"/>
      <family val="2"/>
    </font>
    <font>
      <b/>
      <sz val="20"/>
      <name val="Times New Roman"/>
      <family val="1"/>
      <charset val="238"/>
    </font>
    <font>
      <sz val="11"/>
      <name val="Times New Roman"/>
      <family val="1"/>
      <charset val="238"/>
    </font>
    <font>
      <b/>
      <sz val="10"/>
      <name val="Times New Roman"/>
      <family val="1"/>
      <charset val="238"/>
    </font>
    <font>
      <sz val="10"/>
      <name val="Times New Roman"/>
      <family val="1"/>
      <charset val="238"/>
    </font>
  </fonts>
  <fills count="16">
    <fill>
      <patternFill patternType="none"/>
    </fill>
    <fill>
      <patternFill patternType="gray125"/>
    </fill>
    <fill>
      <patternFill patternType="solid">
        <fgColor indexed="11"/>
        <bgColor indexed="64"/>
      </patternFill>
    </fill>
    <fill>
      <patternFill patternType="solid">
        <fgColor indexed="13"/>
        <bgColor indexed="64"/>
      </patternFill>
    </fill>
    <fill>
      <patternFill patternType="solid">
        <fgColor indexed="10"/>
        <bgColor indexed="64"/>
      </patternFill>
    </fill>
    <fill>
      <patternFill patternType="gray0625">
        <fgColor indexed="22"/>
      </patternFill>
    </fill>
    <fill>
      <patternFill patternType="gray125">
        <fgColor indexed="23"/>
      </patternFill>
    </fill>
    <fill>
      <patternFill patternType="solid">
        <fgColor indexed="47"/>
        <bgColor indexed="64"/>
      </patternFill>
    </fill>
    <fill>
      <patternFill patternType="solid">
        <fgColor indexed="9"/>
        <bgColor indexed="64"/>
      </patternFill>
    </fill>
    <fill>
      <patternFill patternType="mediumGray">
        <fgColor indexed="9"/>
        <bgColor indexed="10"/>
      </patternFill>
    </fill>
    <fill>
      <patternFill patternType="mediumGray">
        <fgColor indexed="9"/>
        <bgColor indexed="11"/>
      </patternFill>
    </fill>
    <fill>
      <patternFill patternType="mediumGray">
        <fgColor indexed="9"/>
        <bgColor indexed="13"/>
      </patternFill>
    </fill>
    <fill>
      <patternFill patternType="solid">
        <fgColor indexed="22"/>
        <bgColor indexed="64"/>
      </patternFill>
    </fill>
    <fill>
      <patternFill patternType="solid">
        <fgColor indexed="9"/>
        <bgColor indexed="26"/>
      </patternFill>
    </fill>
    <fill>
      <patternFill patternType="solid">
        <fgColor theme="0"/>
        <bgColor indexed="64"/>
      </patternFill>
    </fill>
    <fill>
      <patternFill patternType="solid">
        <fgColor theme="0" tint="-0.249977111117893"/>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
      <left style="thin">
        <color indexed="64"/>
      </left>
      <right/>
      <top style="thin">
        <color indexed="64"/>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hair">
        <color indexed="8"/>
      </left>
      <right style="hair">
        <color indexed="8"/>
      </right>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64"/>
      </top>
      <bottom/>
      <diagonal/>
    </border>
    <border>
      <left style="hair">
        <color indexed="8"/>
      </left>
      <right style="hair">
        <color indexed="8"/>
      </right>
      <top/>
      <bottom/>
      <diagonal/>
    </border>
    <border>
      <left/>
      <right/>
      <top style="thin">
        <color indexed="64"/>
      </top>
      <bottom/>
      <diagonal/>
    </border>
    <border>
      <left style="hair">
        <color indexed="8"/>
      </left>
      <right style="hair">
        <color indexed="64"/>
      </right>
      <top style="thin">
        <color indexed="64"/>
      </top>
      <bottom style="hair">
        <color indexed="8"/>
      </bottom>
      <diagonal/>
    </border>
    <border>
      <left style="hair">
        <color indexed="8"/>
      </left>
      <right style="hair">
        <color indexed="64"/>
      </right>
      <top style="hair">
        <color indexed="8"/>
      </top>
      <bottom style="hair">
        <color indexed="8"/>
      </bottom>
      <diagonal/>
    </border>
    <border>
      <left style="hair">
        <color indexed="8"/>
      </left>
      <right style="hair">
        <color indexed="64"/>
      </right>
      <top style="hair">
        <color indexed="8"/>
      </top>
      <bottom style="hair">
        <color indexed="64"/>
      </bottom>
      <diagonal/>
    </border>
    <border>
      <left style="hair">
        <color indexed="8"/>
      </left>
      <right style="hair">
        <color indexed="8"/>
      </right>
      <top style="hair">
        <color indexed="8"/>
      </top>
      <bottom/>
      <diagonal/>
    </border>
    <border>
      <left style="medium">
        <color indexed="8"/>
      </left>
      <right style="thin">
        <color indexed="8"/>
      </right>
      <top style="thin">
        <color indexed="8"/>
      </top>
      <bottom/>
      <diagonal/>
    </border>
    <border>
      <left style="thin">
        <color indexed="8"/>
      </left>
      <right style="thin">
        <color indexed="8"/>
      </right>
      <top/>
      <bottom/>
      <diagonal/>
    </border>
    <border>
      <left style="medium">
        <color indexed="8"/>
      </left>
      <right style="thin">
        <color indexed="8"/>
      </right>
      <top/>
      <bottom style="thin">
        <color indexed="8"/>
      </bottom>
      <diagonal/>
    </border>
    <border>
      <left style="thin">
        <color indexed="8"/>
      </left>
      <right style="thin">
        <color indexed="8"/>
      </right>
      <top/>
      <bottom style="thin">
        <color indexed="64"/>
      </bottom>
      <diagonal/>
    </border>
    <border>
      <left style="medium">
        <color indexed="8"/>
      </left>
      <right style="thin">
        <color indexed="8"/>
      </right>
      <top/>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medium">
        <color indexed="64"/>
      </top>
      <bottom/>
      <diagonal/>
    </border>
    <border>
      <left style="thin">
        <color indexed="8"/>
      </left>
      <right style="thin">
        <color indexed="8"/>
      </right>
      <top style="thin">
        <color indexed="64"/>
      </top>
      <bottom style="thin">
        <color indexed="8"/>
      </bottom>
      <diagonal/>
    </border>
  </borders>
  <cellStyleXfs count="4">
    <xf numFmtId="0" fontId="0" fillId="0" borderId="0"/>
    <xf numFmtId="0" fontId="3" fillId="0" borderId="0" applyNumberFormat="0" applyFill="0" applyBorder="0" applyAlignment="0" applyProtection="0">
      <alignment vertical="top"/>
      <protection locked="0"/>
    </xf>
    <xf numFmtId="0" fontId="23" fillId="0" borderId="0"/>
    <xf numFmtId="0" fontId="5" fillId="0" borderId="0"/>
  </cellStyleXfs>
  <cellXfs count="369">
    <xf numFmtId="0" fontId="0" fillId="0" borderId="0" xfId="0"/>
    <xf numFmtId="0" fontId="4" fillId="0" borderId="0" xfId="0" applyFont="1" applyAlignment="1" applyProtection="1">
      <alignment vertical="top" wrapText="1"/>
      <protection locked="0"/>
    </xf>
    <xf numFmtId="0" fontId="4" fillId="0" borderId="0" xfId="0" applyFont="1" applyAlignment="1" applyProtection="1">
      <alignment vertical="top" wrapText="1"/>
    </xf>
    <xf numFmtId="0" fontId="4" fillId="0" borderId="0" xfId="0" applyFont="1" applyBorder="1" applyAlignment="1" applyProtection="1">
      <alignment vertical="top" wrapText="1"/>
    </xf>
    <xf numFmtId="0" fontId="6" fillId="0" borderId="1" xfId="0" applyFont="1" applyBorder="1" applyAlignment="1" applyProtection="1">
      <alignment vertical="center" wrapText="1"/>
    </xf>
    <xf numFmtId="0" fontId="4" fillId="0" borderId="1" xfId="0" applyFont="1" applyBorder="1" applyAlignment="1" applyProtection="1">
      <protection locked="0"/>
    </xf>
    <xf numFmtId="0" fontId="4" fillId="0" borderId="0" xfId="0" applyFont="1" applyAlignment="1" applyProtection="1">
      <protection locked="0"/>
    </xf>
    <xf numFmtId="0" fontId="4" fillId="0" borderId="0" xfId="0" applyFont="1" applyAlignment="1" applyProtection="1">
      <alignment horizontal="center" vertical="top" wrapText="1"/>
    </xf>
    <xf numFmtId="0" fontId="4" fillId="0" borderId="0" xfId="0" applyFont="1" applyAlignment="1" applyProtection="1">
      <alignment horizontal="center"/>
    </xf>
    <xf numFmtId="0" fontId="4" fillId="2" borderId="1" xfId="0" applyFont="1" applyFill="1" applyBorder="1" applyAlignment="1" applyProtection="1">
      <alignment horizontal="center" vertical="center"/>
    </xf>
    <xf numFmtId="0" fontId="4" fillId="0" borderId="0" xfId="0" applyFont="1" applyAlignment="1" applyProtection="1"/>
    <xf numFmtId="0" fontId="4" fillId="3" borderId="1" xfId="0" applyFont="1" applyFill="1" applyBorder="1" applyAlignment="1" applyProtection="1">
      <alignment horizontal="center" vertical="center"/>
    </xf>
    <xf numFmtId="0" fontId="6" fillId="0" borderId="1" xfId="0" applyFont="1" applyBorder="1" applyAlignment="1">
      <alignment wrapText="1"/>
    </xf>
    <xf numFmtId="0" fontId="6" fillId="0" borderId="1" xfId="0" applyFont="1" applyBorder="1" applyAlignment="1">
      <alignment horizontal="center" wrapText="1"/>
    </xf>
    <xf numFmtId="0" fontId="6" fillId="0" borderId="0" xfId="0" applyFont="1" applyAlignment="1" applyProtection="1">
      <alignment vertical="top" wrapText="1"/>
    </xf>
    <xf numFmtId="0" fontId="8" fillId="4" borderId="1" xfId="0" applyFont="1" applyFill="1" applyBorder="1" applyAlignment="1" applyProtection="1">
      <alignment horizontal="center" vertical="center"/>
    </xf>
    <xf numFmtId="0" fontId="7" fillId="0" borderId="2" xfId="0" applyFont="1" applyBorder="1" applyAlignment="1" applyProtection="1">
      <alignment vertical="top" wrapText="1"/>
      <protection locked="0"/>
    </xf>
    <xf numFmtId="0" fontId="7" fillId="5" borderId="3" xfId="0" applyFont="1" applyFill="1" applyBorder="1" applyAlignment="1" applyProtection="1">
      <alignment vertical="top" wrapText="1"/>
      <protection locked="0"/>
    </xf>
    <xf numFmtId="0" fontId="7" fillId="6" borderId="2" xfId="0" applyFont="1" applyFill="1" applyBorder="1" applyAlignment="1" applyProtection="1">
      <alignment vertical="top" wrapText="1"/>
    </xf>
    <xf numFmtId="0" fontId="7" fillId="5" borderId="2" xfId="0" applyFont="1" applyFill="1" applyBorder="1" applyAlignment="1" applyProtection="1">
      <alignment vertical="top" wrapText="1"/>
      <protection locked="0"/>
    </xf>
    <xf numFmtId="0" fontId="7" fillId="0" borderId="0" xfId="0" applyFont="1" applyAlignment="1" applyProtection="1">
      <alignment vertical="top" wrapText="1"/>
      <protection locked="0"/>
    </xf>
    <xf numFmtId="0" fontId="7" fillId="0" borderId="3" xfId="0" applyFont="1" applyBorder="1" applyAlignment="1" applyProtection="1">
      <alignment vertical="top" wrapText="1"/>
      <protection locked="0"/>
    </xf>
    <xf numFmtId="0" fontId="5" fillId="0" borderId="0" xfId="0" applyFont="1"/>
    <xf numFmtId="0" fontId="4" fillId="0" borderId="0" xfId="0" applyFont="1" applyFill="1" applyAlignment="1" applyProtection="1">
      <alignment vertical="top" wrapText="1"/>
      <protection locked="0"/>
    </xf>
    <xf numFmtId="0" fontId="5" fillId="0" borderId="0" xfId="0" applyFont="1" applyAlignment="1" applyProtection="1">
      <alignment wrapText="1"/>
      <protection locked="0"/>
    </xf>
    <xf numFmtId="0" fontId="7" fillId="0" borderId="2" xfId="0" applyNumberFormat="1" applyFont="1" applyBorder="1" applyAlignment="1" applyProtection="1">
      <alignment horizontal="center" vertical="center"/>
    </xf>
    <xf numFmtId="0" fontId="4" fillId="2" borderId="1" xfId="0" applyFont="1" applyFill="1" applyBorder="1" applyAlignment="1" applyProtection="1">
      <alignment horizontal="center" vertical="center"/>
      <protection locked="0"/>
    </xf>
    <xf numFmtId="0" fontId="4" fillId="3" borderId="1" xfId="0" applyFont="1" applyFill="1" applyBorder="1" applyAlignment="1" applyProtection="1">
      <alignment horizontal="center" vertical="center"/>
      <protection locked="0"/>
    </xf>
    <xf numFmtId="0" fontId="8" fillId="4" borderId="1" xfId="0" applyFont="1" applyFill="1" applyBorder="1" applyAlignment="1" applyProtection="1">
      <alignment horizontal="center" vertical="center"/>
      <protection locked="0"/>
    </xf>
    <xf numFmtId="0" fontId="4" fillId="0" borderId="0" xfId="0" applyFont="1" applyBorder="1" applyAlignment="1" applyProtection="1">
      <alignment horizontal="center" vertical="top" wrapText="1"/>
    </xf>
    <xf numFmtId="0" fontId="4" fillId="2" borderId="1" xfId="0" applyFont="1" applyFill="1" applyBorder="1" applyAlignment="1" applyProtection="1">
      <alignment horizontal="center" vertical="top" wrapText="1"/>
      <protection locked="0"/>
    </xf>
    <xf numFmtId="0" fontId="4" fillId="3" borderId="1" xfId="0" applyFont="1" applyFill="1" applyBorder="1" applyAlignment="1" applyProtection="1">
      <alignment horizontal="center" vertical="top" wrapText="1"/>
      <protection locked="0"/>
    </xf>
    <xf numFmtId="0" fontId="11" fillId="4" borderId="1" xfId="0" applyFont="1" applyFill="1" applyBorder="1" applyAlignment="1" applyProtection="1">
      <alignment horizontal="center" vertical="top" wrapText="1"/>
      <protection locked="0"/>
    </xf>
    <xf numFmtId="0" fontId="4" fillId="2" borderId="1" xfId="0" applyFont="1" applyFill="1" applyBorder="1" applyAlignment="1" applyProtection="1">
      <alignment horizontal="center"/>
      <protection locked="0"/>
    </xf>
    <xf numFmtId="49" fontId="4" fillId="3" borderId="1" xfId="0" applyNumberFormat="1" applyFont="1" applyFill="1" applyBorder="1" applyAlignment="1" applyProtection="1">
      <alignment horizontal="center"/>
      <protection locked="0"/>
    </xf>
    <xf numFmtId="49" fontId="11" fillId="4" borderId="1" xfId="0" applyNumberFormat="1" applyFont="1" applyFill="1" applyBorder="1" applyAlignment="1" applyProtection="1">
      <alignment horizontal="center"/>
      <protection locked="0"/>
    </xf>
    <xf numFmtId="0" fontId="4" fillId="0" borderId="0" xfId="0" applyFont="1" applyAlignment="1" applyProtection="1">
      <alignment horizontal="left" vertical="center"/>
    </xf>
    <xf numFmtId="0" fontId="12" fillId="0" borderId="0" xfId="0" applyFont="1" applyAlignment="1" applyProtection="1">
      <alignment horizontal="left" vertical="center"/>
    </xf>
    <xf numFmtId="0" fontId="13" fillId="0" borderId="0" xfId="0" applyFont="1" applyAlignment="1" applyProtection="1">
      <alignment horizontal="center" vertical="center" wrapText="1"/>
    </xf>
    <xf numFmtId="0" fontId="14" fillId="4" borderId="1" xfId="0" applyFont="1" applyFill="1" applyBorder="1" applyAlignment="1" applyProtection="1">
      <alignment horizontal="left" vertical="center"/>
    </xf>
    <xf numFmtId="0" fontId="2" fillId="0" borderId="0" xfId="0" applyFont="1" applyAlignment="1" applyProtection="1">
      <alignment horizontal="center" vertical="center"/>
      <protection hidden="1"/>
    </xf>
    <xf numFmtId="0" fontId="10" fillId="0" borderId="4" xfId="0" applyFont="1" applyBorder="1" applyAlignment="1" applyProtection="1">
      <alignment horizontal="center"/>
    </xf>
    <xf numFmtId="0" fontId="0" fillId="0" borderId="4" xfId="0" applyBorder="1" applyProtection="1"/>
    <xf numFmtId="0" fontId="0" fillId="0" borderId="0" xfId="0" applyProtection="1"/>
    <xf numFmtId="0" fontId="10" fillId="0" borderId="5" xfId="0" applyFont="1" applyBorder="1" applyAlignment="1" applyProtection="1">
      <alignment horizontal="center"/>
    </xf>
    <xf numFmtId="0" fontId="0" fillId="0" borderId="6" xfId="0" applyBorder="1" applyAlignment="1" applyProtection="1">
      <alignment vertical="center"/>
    </xf>
    <xf numFmtId="0" fontId="2" fillId="0" borderId="7" xfId="0" applyFont="1" applyBorder="1" applyProtection="1"/>
    <xf numFmtId="0" fontId="0" fillId="0" borderId="0" xfId="0" applyBorder="1" applyProtection="1"/>
    <xf numFmtId="0" fontId="0" fillId="0" borderId="8" xfId="0" applyBorder="1" applyProtection="1"/>
    <xf numFmtId="0" fontId="0" fillId="0" borderId="9" xfId="0" applyBorder="1" applyProtection="1"/>
    <xf numFmtId="0" fontId="0" fillId="0" borderId="10" xfId="0" applyBorder="1" applyProtection="1"/>
    <xf numFmtId="0" fontId="0" fillId="0" borderId="11" xfId="0" applyBorder="1" applyProtection="1"/>
    <xf numFmtId="0" fontId="0" fillId="0" borderId="12" xfId="0" applyBorder="1" applyProtection="1"/>
    <xf numFmtId="0" fontId="2" fillId="0" borderId="4" xfId="0" applyFont="1" applyBorder="1" applyAlignment="1" applyProtection="1">
      <alignment vertical="center"/>
    </xf>
    <xf numFmtId="0" fontId="0" fillId="0" borderId="0" xfId="0" applyAlignment="1" applyProtection="1">
      <alignment horizontal="left"/>
    </xf>
    <xf numFmtId="0" fontId="0" fillId="0" borderId="13" xfId="0" applyBorder="1" applyProtection="1"/>
    <xf numFmtId="0" fontId="0" fillId="0" borderId="1" xfId="0" applyBorder="1" applyProtection="1"/>
    <xf numFmtId="0" fontId="2" fillId="0" borderId="0" xfId="0" applyFont="1" applyProtection="1"/>
    <xf numFmtId="0" fontId="17" fillId="0" borderId="0" xfId="0" applyFont="1" applyProtection="1"/>
    <xf numFmtId="14" fontId="0" fillId="7" borderId="5" xfId="0" applyNumberFormat="1" applyFill="1" applyBorder="1" applyProtection="1">
      <protection locked="0"/>
    </xf>
    <xf numFmtId="0" fontId="9" fillId="8" borderId="0" xfId="0" applyFont="1" applyFill="1" applyAlignment="1" applyProtection="1">
      <alignment horizontal="center" vertical="center"/>
      <protection hidden="1"/>
    </xf>
    <xf numFmtId="0" fontId="6" fillId="0" borderId="1" xfId="0" applyFont="1" applyBorder="1" applyAlignment="1">
      <alignment vertical="center" wrapText="1"/>
    </xf>
    <xf numFmtId="0" fontId="6" fillId="0" borderId="1" xfId="0" applyFont="1" applyFill="1" applyBorder="1" applyAlignment="1">
      <alignment wrapText="1"/>
    </xf>
    <xf numFmtId="0" fontId="6" fillId="0" borderId="14" xfId="0" applyFont="1" applyBorder="1" applyAlignment="1">
      <alignment vertical="center" wrapText="1"/>
    </xf>
    <xf numFmtId="0" fontId="12" fillId="9" borderId="1" xfId="0" applyFont="1" applyFill="1" applyBorder="1" applyAlignment="1" applyProtection="1">
      <alignment horizontal="left" vertical="center"/>
    </xf>
    <xf numFmtId="0" fontId="4" fillId="10" borderId="1" xfId="0" applyFont="1" applyFill="1" applyBorder="1" applyAlignment="1" applyProtection="1">
      <alignment horizontal="center" vertical="top" wrapText="1"/>
      <protection locked="0"/>
    </xf>
    <xf numFmtId="0" fontId="4" fillId="11" borderId="1" xfId="0" applyFont="1" applyFill="1" applyBorder="1" applyAlignment="1" applyProtection="1">
      <alignment horizontal="center" vertical="top" wrapText="1"/>
      <protection locked="0"/>
    </xf>
    <xf numFmtId="0" fontId="11" fillId="9" borderId="1" xfId="0" applyFont="1" applyFill="1" applyBorder="1" applyAlignment="1" applyProtection="1">
      <alignment horizontal="center" vertical="top" wrapText="1"/>
      <protection locked="0"/>
    </xf>
    <xf numFmtId="14" fontId="7" fillId="0" borderId="2" xfId="0" applyNumberFormat="1" applyFont="1" applyBorder="1" applyAlignment="1" applyProtection="1">
      <alignment vertical="top" wrapText="1"/>
      <protection locked="0"/>
    </xf>
    <xf numFmtId="0" fontId="4" fillId="0" borderId="0" xfId="0" applyFont="1" applyAlignment="1" applyProtection="1">
      <alignment vertical="top" wrapText="1"/>
      <protection hidden="1"/>
    </xf>
    <xf numFmtId="14" fontId="4" fillId="0" borderId="15" xfId="0" applyNumberFormat="1" applyFont="1" applyBorder="1" applyAlignment="1" applyProtection="1">
      <alignment horizontal="center"/>
      <protection locked="0"/>
    </xf>
    <xf numFmtId="22" fontId="4" fillId="0" borderId="15" xfId="0" applyNumberFormat="1" applyFont="1" applyBorder="1" applyAlignment="1" applyProtection="1">
      <alignment horizontal="center"/>
      <protection hidden="1"/>
    </xf>
    <xf numFmtId="0" fontId="6" fillId="0" borderId="13" xfId="0" applyFont="1" applyBorder="1" applyAlignment="1">
      <alignment wrapText="1"/>
    </xf>
    <xf numFmtId="0" fontId="10" fillId="0" borderId="16" xfId="0" applyFont="1" applyBorder="1" applyProtection="1"/>
    <xf numFmtId="0" fontId="2" fillId="0" borderId="6" xfId="0" applyFont="1" applyBorder="1" applyAlignment="1" applyProtection="1">
      <alignment horizontal="left" vertical="center" wrapText="1"/>
    </xf>
    <xf numFmtId="0" fontId="6" fillId="0" borderId="13" xfId="0" applyFont="1" applyFill="1" applyBorder="1" applyAlignment="1">
      <alignment wrapText="1"/>
    </xf>
    <xf numFmtId="0" fontId="6" fillId="0" borderId="1" xfId="0" applyFont="1" applyBorder="1" applyAlignment="1">
      <alignment horizontal="left" wrapText="1"/>
    </xf>
    <xf numFmtId="0" fontId="4" fillId="0" borderId="17" xfId="0" applyFont="1" applyBorder="1" applyAlignment="1" applyProtection="1">
      <protection locked="0"/>
    </xf>
    <xf numFmtId="0" fontId="4" fillId="0" borderId="14" xfId="0" applyFont="1" applyBorder="1" applyAlignment="1" applyProtection="1">
      <protection locked="0"/>
    </xf>
    <xf numFmtId="0" fontId="4" fillId="0" borderId="18" xfId="0" applyFont="1" applyBorder="1" applyAlignment="1" applyProtection="1">
      <protection locked="0"/>
    </xf>
    <xf numFmtId="0" fontId="0" fillId="0" borderId="0" xfId="0" applyAlignment="1" applyProtection="1">
      <alignment horizontal="center" vertical="center"/>
      <protection hidden="1"/>
    </xf>
    <xf numFmtId="0" fontId="7" fillId="8" borderId="0" xfId="0" applyFont="1" applyFill="1" applyAlignment="1" applyProtection="1">
      <protection hidden="1"/>
    </xf>
    <xf numFmtId="0" fontId="6" fillId="0" borderId="0" xfId="0" applyFont="1" applyAlignment="1" applyProtection="1">
      <alignment horizontal="center" vertical="center"/>
      <protection hidden="1"/>
    </xf>
    <xf numFmtId="0" fontId="5" fillId="0" borderId="0" xfId="0" applyFont="1" applyAlignment="1" applyProtection="1">
      <alignment horizontal="center" vertical="center"/>
      <protection hidden="1"/>
    </xf>
    <xf numFmtId="0" fontId="4" fillId="0" borderId="0" xfId="0" applyFont="1" applyAlignment="1" applyProtection="1">
      <alignment horizontal="center" vertical="top" wrapText="1"/>
      <protection locked="0"/>
    </xf>
    <xf numFmtId="0" fontId="4" fillId="0" borderId="0" xfId="0" applyFont="1" applyAlignment="1" applyProtection="1">
      <alignment horizontal="center"/>
      <protection locked="0"/>
    </xf>
    <xf numFmtId="0" fontId="6" fillId="0" borderId="0" xfId="0" applyFont="1" applyAlignment="1" applyProtection="1">
      <alignment horizontal="center" vertical="top" wrapText="1"/>
    </xf>
    <xf numFmtId="0" fontId="7" fillId="0" borderId="0" xfId="0" applyFont="1" applyAlignment="1" applyProtection="1">
      <alignment horizontal="center"/>
      <protection hidden="1"/>
    </xf>
    <xf numFmtId="0" fontId="7" fillId="0" borderId="0" xfId="0" applyFont="1" applyAlignment="1" applyProtection="1">
      <alignment horizontal="center" vertical="top" wrapText="1"/>
      <protection hidden="1"/>
    </xf>
    <xf numFmtId="0" fontId="0" fillId="0" borderId="0" xfId="0" applyAlignment="1">
      <alignment horizontal="center"/>
    </xf>
    <xf numFmtId="0" fontId="6" fillId="0" borderId="0" xfId="0" applyFont="1" applyAlignment="1" applyProtection="1">
      <alignment horizontal="center" vertical="top"/>
    </xf>
    <xf numFmtId="0" fontId="7" fillId="0" borderId="0" xfId="0" applyFont="1" applyAlignment="1" applyProtection="1">
      <alignment horizontal="center" vertical="center"/>
      <protection hidden="1"/>
    </xf>
    <xf numFmtId="0" fontId="6" fillId="0" borderId="0" xfId="0" applyFont="1" applyAlignment="1" applyProtection="1">
      <alignment horizontal="center" vertical="center" wrapText="1"/>
      <protection hidden="1"/>
    </xf>
    <xf numFmtId="0" fontId="25" fillId="13" borderId="0" xfId="2" applyFont="1" applyFill="1"/>
    <xf numFmtId="0" fontId="25" fillId="13" borderId="0" xfId="2" applyFont="1" applyFill="1" applyAlignment="1">
      <alignment horizontal="center"/>
    </xf>
    <xf numFmtId="0" fontId="25" fillId="13" borderId="0" xfId="2" applyFont="1" applyFill="1" applyAlignment="1">
      <alignment horizontal="left"/>
    </xf>
    <xf numFmtId="0" fontId="26" fillId="13" borderId="24" xfId="2" applyFont="1" applyFill="1" applyBorder="1"/>
    <xf numFmtId="0" fontId="25" fillId="13" borderId="25" xfId="2" applyFont="1" applyFill="1" applyBorder="1"/>
    <xf numFmtId="0" fontId="25" fillId="13" borderId="26" xfId="2" applyFont="1" applyFill="1" applyBorder="1"/>
    <xf numFmtId="0" fontId="25" fillId="13" borderId="25" xfId="2" applyFont="1" applyFill="1" applyBorder="1" applyAlignment="1">
      <alignment horizontal="center"/>
    </xf>
    <xf numFmtId="0" fontId="27" fillId="13" borderId="27" xfId="2" applyFont="1" applyFill="1" applyBorder="1"/>
    <xf numFmtId="0" fontId="25" fillId="13" borderId="0" xfId="2" applyFont="1" applyFill="1" applyBorder="1"/>
    <xf numFmtId="0" fontId="25" fillId="13" borderId="0" xfId="2" applyFont="1" applyFill="1" applyBorder="1" applyAlignment="1">
      <alignment horizontal="center"/>
    </xf>
    <xf numFmtId="0" fontId="28" fillId="13" borderId="27" xfId="2" applyFont="1" applyFill="1" applyBorder="1"/>
    <xf numFmtId="0" fontId="25" fillId="13" borderId="28" xfId="2" applyFont="1" applyFill="1" applyBorder="1"/>
    <xf numFmtId="0" fontId="29" fillId="13" borderId="29" xfId="2" applyFont="1" applyFill="1" applyBorder="1"/>
    <xf numFmtId="0" fontId="23" fillId="13" borderId="30" xfId="2" applyFont="1" applyFill="1" applyBorder="1"/>
    <xf numFmtId="0" fontId="23" fillId="13" borderId="31" xfId="2" applyFont="1" applyFill="1" applyBorder="1"/>
    <xf numFmtId="0" fontId="29" fillId="13" borderId="29" xfId="2" applyFont="1" applyFill="1" applyBorder="1" applyProtection="1">
      <protection locked="0"/>
    </xf>
    <xf numFmtId="0" fontId="23" fillId="13" borderId="30" xfId="2" applyFont="1" applyFill="1" applyBorder="1" applyAlignment="1">
      <alignment horizontal="center"/>
    </xf>
    <xf numFmtId="0" fontId="23" fillId="13" borderId="31" xfId="2" applyFont="1" applyFill="1" applyBorder="1" applyAlignment="1">
      <alignment horizontal="center"/>
    </xf>
    <xf numFmtId="164" fontId="29" fillId="13" borderId="29" xfId="2" applyNumberFormat="1" applyFont="1" applyFill="1" applyBorder="1" applyAlignment="1" applyProtection="1">
      <alignment horizontal="center"/>
      <protection locked="0"/>
    </xf>
    <xf numFmtId="49" fontId="23" fillId="13" borderId="29" xfId="2" applyNumberFormat="1" applyFont="1" applyFill="1" applyBorder="1"/>
    <xf numFmtId="0" fontId="30" fillId="13" borderId="30" xfId="2" applyFont="1" applyFill="1" applyBorder="1"/>
    <xf numFmtId="0" fontId="23" fillId="13" borderId="31" xfId="2" applyFont="1" applyFill="1" applyBorder="1" applyAlignment="1">
      <alignment horizontal="right"/>
    </xf>
    <xf numFmtId="0" fontId="23" fillId="13" borderId="29" xfId="2" applyFont="1" applyFill="1" applyBorder="1" applyAlignment="1" applyProtection="1">
      <alignment horizontal="center"/>
      <protection locked="0"/>
    </xf>
    <xf numFmtId="0" fontId="26" fillId="13" borderId="27" xfId="2" applyFont="1" applyFill="1" applyBorder="1"/>
    <xf numFmtId="0" fontId="31" fillId="13" borderId="29" xfId="2" applyFont="1" applyFill="1" applyBorder="1"/>
    <xf numFmtId="0" fontId="23" fillId="13" borderId="29" xfId="2" applyFont="1" applyFill="1" applyBorder="1" applyAlignment="1" applyProtection="1">
      <protection locked="0"/>
    </xf>
    <xf numFmtId="0" fontId="23" fillId="13" borderId="30" xfId="2" applyFont="1" applyFill="1" applyBorder="1" applyAlignment="1"/>
    <xf numFmtId="0" fontId="23" fillId="13" borderId="29" xfId="2" applyFont="1" applyFill="1" applyBorder="1"/>
    <xf numFmtId="0" fontId="23" fillId="13" borderId="29" xfId="2" applyFont="1" applyFill="1" applyBorder="1" applyAlignment="1">
      <alignment horizontal="center"/>
    </xf>
    <xf numFmtId="0" fontId="23" fillId="13" borderId="29" xfId="2" applyFont="1" applyFill="1" applyBorder="1" applyAlignment="1" applyProtection="1">
      <alignment horizontal="left"/>
      <protection locked="0"/>
    </xf>
    <xf numFmtId="0" fontId="32" fillId="13" borderId="32" xfId="2" applyFont="1" applyFill="1" applyBorder="1" applyAlignment="1">
      <alignment horizontal="center"/>
    </xf>
    <xf numFmtId="49" fontId="25" fillId="13" borderId="32" xfId="2" applyNumberFormat="1" applyFont="1" applyFill="1" applyBorder="1" applyAlignment="1" applyProtection="1">
      <alignment horizontal="center" vertical="center" wrapText="1"/>
      <protection locked="0"/>
    </xf>
    <xf numFmtId="0" fontId="25" fillId="13" borderId="32" xfId="2" applyFont="1" applyFill="1" applyBorder="1" applyAlignment="1" applyProtection="1">
      <alignment vertical="top" wrapText="1"/>
      <protection locked="0"/>
    </xf>
    <xf numFmtId="0" fontId="25" fillId="13" borderId="32" xfId="2" applyFont="1" applyFill="1" applyBorder="1" applyAlignment="1" applyProtection="1">
      <alignment horizontal="center" vertical="top" wrapText="1"/>
      <protection locked="0"/>
    </xf>
    <xf numFmtId="0" fontId="25" fillId="13" borderId="32" xfId="2" applyFont="1" applyFill="1" applyBorder="1" applyAlignment="1" applyProtection="1">
      <alignment horizontal="center" vertical="center" wrapText="1"/>
      <protection locked="0"/>
    </xf>
    <xf numFmtId="0" fontId="35" fillId="13" borderId="32" xfId="2" applyFont="1" applyFill="1" applyBorder="1" applyAlignment="1" applyProtection="1">
      <alignment vertical="top" wrapText="1"/>
      <protection locked="0"/>
    </xf>
    <xf numFmtId="49" fontId="25" fillId="13" borderId="32" xfId="2" applyNumberFormat="1" applyFont="1" applyFill="1" applyBorder="1" applyAlignment="1" applyProtection="1">
      <alignment horizontal="center" vertical="top" wrapText="1"/>
      <protection locked="0"/>
    </xf>
    <xf numFmtId="164" fontId="23" fillId="13" borderId="30" xfId="2" applyNumberFormat="1" applyFont="1" applyFill="1" applyBorder="1" applyAlignment="1" applyProtection="1">
      <alignment horizontal="center"/>
      <protection locked="0"/>
    </xf>
    <xf numFmtId="0" fontId="38" fillId="0" borderId="0" xfId="0" applyFont="1" applyAlignment="1">
      <alignment vertical="center"/>
    </xf>
    <xf numFmtId="0" fontId="39" fillId="0" borderId="0" xfId="0" applyFont="1" applyAlignment="1">
      <alignment vertical="center"/>
    </xf>
    <xf numFmtId="0" fontId="36" fillId="0" borderId="0" xfId="0" applyFont="1" applyAlignment="1">
      <alignment horizontal="right" vertical="center"/>
    </xf>
    <xf numFmtId="0" fontId="41" fillId="0" borderId="0" xfId="0" applyFont="1" applyAlignment="1">
      <alignment horizontal="right" vertical="center"/>
    </xf>
    <xf numFmtId="0" fontId="37" fillId="0" borderId="0" xfId="0" applyFont="1" applyAlignment="1">
      <alignment horizontal="right" vertical="center"/>
    </xf>
    <xf numFmtId="0" fontId="39" fillId="0" borderId="0" xfId="0" applyFont="1" applyAlignment="1">
      <alignment horizontal="right" vertical="center"/>
    </xf>
    <xf numFmtId="0" fontId="40" fillId="0" borderId="0" xfId="0" applyFont="1" applyAlignment="1">
      <alignment horizontal="right" vertical="center"/>
    </xf>
    <xf numFmtId="0" fontId="26" fillId="0" borderId="42" xfId="2" applyFont="1" applyBorder="1" applyAlignment="1" applyProtection="1">
      <alignment horizontal="left" vertical="top" wrapText="1"/>
      <protection locked="0"/>
    </xf>
    <xf numFmtId="0" fontId="26" fillId="0" borderId="43" xfId="2" applyFont="1" applyBorder="1" applyAlignment="1" applyProtection="1">
      <alignment horizontal="left" vertical="top" wrapText="1"/>
      <protection locked="0"/>
    </xf>
    <xf numFmtId="0" fontId="6" fillId="0" borderId="13" xfId="0" applyFont="1" applyBorder="1" applyAlignment="1">
      <alignment horizontal="center" vertical="center" wrapText="1"/>
    </xf>
    <xf numFmtId="0" fontId="26" fillId="0" borderId="47" xfId="2" applyFont="1" applyBorder="1" applyAlignment="1" applyProtection="1">
      <alignment horizontal="left" vertical="top" wrapText="1"/>
      <protection locked="0"/>
    </xf>
    <xf numFmtId="0" fontId="26" fillId="0" borderId="48" xfId="2" applyFont="1" applyBorder="1" applyAlignment="1" applyProtection="1">
      <alignment horizontal="left" vertical="top" wrapText="1"/>
      <protection locked="0"/>
    </xf>
    <xf numFmtId="0" fontId="26" fillId="0" borderId="49" xfId="2" applyFont="1" applyBorder="1" applyAlignment="1" applyProtection="1">
      <alignment horizontal="left" vertical="top" wrapText="1"/>
      <protection locked="0"/>
    </xf>
    <xf numFmtId="0" fontId="26" fillId="0" borderId="43" xfId="2" applyFont="1" applyBorder="1" applyAlignment="1" applyProtection="1">
      <alignment horizontal="left" vertical="center" wrapText="1"/>
      <protection locked="0"/>
    </xf>
    <xf numFmtId="0" fontId="26" fillId="0" borderId="42" xfId="2" applyFont="1" applyBorder="1" applyAlignment="1" applyProtection="1">
      <alignment horizontal="left" vertical="center" wrapText="1"/>
      <protection locked="0"/>
    </xf>
    <xf numFmtId="0" fontId="0" fillId="14" borderId="0" xfId="0" applyFill="1"/>
    <xf numFmtId="0" fontId="38" fillId="14" borderId="0" xfId="0" applyFont="1" applyFill="1" applyAlignment="1">
      <alignment vertical="center"/>
    </xf>
    <xf numFmtId="0" fontId="0" fillId="15" borderId="0" xfId="0" applyFill="1"/>
    <xf numFmtId="0" fontId="38" fillId="15" borderId="0" xfId="0" applyFont="1" applyFill="1" applyAlignment="1">
      <alignment vertical="center"/>
    </xf>
    <xf numFmtId="0" fontId="36" fillId="15" borderId="0" xfId="0" applyFont="1" applyFill="1" applyAlignment="1">
      <alignment vertical="center"/>
    </xf>
    <xf numFmtId="0" fontId="40" fillId="15" borderId="0" xfId="0" applyFont="1" applyFill="1" applyAlignment="1">
      <alignment vertical="center"/>
    </xf>
    <xf numFmtId="0" fontId="0" fillId="15" borderId="0" xfId="0" applyFill="1" applyAlignment="1">
      <alignment vertical="center"/>
    </xf>
    <xf numFmtId="0" fontId="37" fillId="15" borderId="0" xfId="0" applyFont="1" applyFill="1" applyAlignment="1">
      <alignment vertical="center"/>
    </xf>
    <xf numFmtId="0" fontId="36" fillId="15" borderId="0" xfId="0" applyFont="1" applyFill="1" applyAlignment="1">
      <alignment horizontal="right" vertical="center"/>
    </xf>
    <xf numFmtId="0" fontId="37" fillId="15" borderId="0" xfId="0" applyFont="1" applyFill="1" applyAlignment="1">
      <alignment horizontal="right" vertical="center"/>
    </xf>
    <xf numFmtId="0" fontId="39" fillId="15" borderId="0" xfId="0" applyFont="1" applyFill="1" applyAlignment="1">
      <alignment horizontal="right" vertical="center"/>
    </xf>
    <xf numFmtId="0" fontId="40" fillId="15" borderId="0" xfId="0" applyFont="1" applyFill="1" applyAlignment="1">
      <alignment horizontal="right" vertical="center"/>
    </xf>
    <xf numFmtId="0" fontId="0" fillId="15" borderId="0" xfId="0" applyFill="1" applyAlignment="1">
      <alignment horizontal="right" vertical="center"/>
    </xf>
    <xf numFmtId="0" fontId="47" fillId="0" borderId="42" xfId="2" applyFont="1" applyBorder="1" applyAlignment="1" applyProtection="1">
      <alignment horizontal="center" vertical="center" wrapText="1"/>
      <protection locked="0"/>
    </xf>
    <xf numFmtId="0" fontId="49" fillId="0" borderId="0" xfId="0" applyFont="1"/>
    <xf numFmtId="0" fontId="46" fillId="0" borderId="43" xfId="2" applyFont="1" applyBorder="1" applyAlignment="1" applyProtection="1">
      <alignment horizontal="center" vertical="center" wrapText="1"/>
      <protection locked="0"/>
    </xf>
    <xf numFmtId="0" fontId="47" fillId="0" borderId="43" xfId="2" applyFont="1" applyBorder="1" applyAlignment="1" applyProtection="1">
      <alignment horizontal="center" vertical="center" wrapText="1"/>
      <protection locked="0"/>
    </xf>
    <xf numFmtId="165" fontId="46" fillId="0" borderId="42" xfId="2" applyNumberFormat="1" applyFont="1" applyBorder="1" applyAlignment="1" applyProtection="1">
      <alignment horizontal="center" vertical="center"/>
    </xf>
    <xf numFmtId="0" fontId="47" fillId="0" borderId="42" xfId="2" applyFont="1" applyBorder="1" applyAlignment="1">
      <alignment horizontal="center" vertical="center" wrapText="1"/>
    </xf>
    <xf numFmtId="0" fontId="46" fillId="0" borderId="42" xfId="2" applyFont="1" applyBorder="1" applyAlignment="1" applyProtection="1">
      <alignment horizontal="center" vertical="center" wrapText="1"/>
      <protection locked="0"/>
    </xf>
    <xf numFmtId="0" fontId="46" fillId="0" borderId="32" xfId="2" applyFont="1" applyFill="1" applyBorder="1" applyAlignment="1">
      <alignment vertical="center" wrapText="1"/>
    </xf>
    <xf numFmtId="0" fontId="53" fillId="0" borderId="32" xfId="2" applyFont="1" applyBorder="1" applyAlignment="1">
      <alignment horizontal="left" vertical="center" wrapText="1" indent="1"/>
    </xf>
    <xf numFmtId="0" fontId="53" fillId="0" borderId="32" xfId="2" applyFont="1" applyBorder="1" applyAlignment="1">
      <alignment horizontal="center" vertical="center"/>
    </xf>
    <xf numFmtId="0" fontId="47" fillId="0" borderId="32" xfId="3" applyFont="1" applyFill="1" applyBorder="1" applyAlignment="1" applyProtection="1">
      <alignment horizontal="center" vertical="center" wrapText="1" readingOrder="1"/>
      <protection locked="0"/>
    </xf>
    <xf numFmtId="0" fontId="46" fillId="0" borderId="32" xfId="2" applyFont="1" applyFill="1" applyBorder="1" applyAlignment="1">
      <alignment horizontal="left" vertical="center" wrapText="1" indent="1"/>
    </xf>
    <xf numFmtId="0" fontId="53" fillId="0" borderId="32" xfId="2" applyFont="1" applyBorder="1" applyAlignment="1">
      <alignment horizontal="center" vertical="center" wrapText="1"/>
    </xf>
    <xf numFmtId="0" fontId="53" fillId="0" borderId="32" xfId="2" applyFont="1" applyBorder="1" applyAlignment="1">
      <alignment horizontal="left" vertical="center" wrapText="1"/>
    </xf>
    <xf numFmtId="0" fontId="55" fillId="0" borderId="32" xfId="2" applyFont="1" applyFill="1" applyBorder="1" applyAlignment="1">
      <alignment horizontal="left" vertical="center" wrapText="1" indent="1"/>
    </xf>
    <xf numFmtId="0" fontId="56" fillId="0" borderId="32" xfId="2" applyFont="1" applyBorder="1" applyAlignment="1">
      <alignment horizontal="center" vertical="center" wrapText="1"/>
    </xf>
    <xf numFmtId="0" fontId="57" fillId="0" borderId="32" xfId="2" applyFont="1" applyBorder="1" applyAlignment="1">
      <alignment horizontal="center" vertical="center"/>
    </xf>
    <xf numFmtId="0" fontId="58" fillId="0" borderId="32" xfId="3" applyFont="1" applyFill="1" applyBorder="1" applyAlignment="1" applyProtection="1">
      <alignment horizontal="center" vertical="center" wrapText="1" readingOrder="1"/>
      <protection locked="0"/>
    </xf>
    <xf numFmtId="0" fontId="57" fillId="0" borderId="32" xfId="2" applyFont="1" applyBorder="1" applyAlignment="1">
      <alignment horizontal="left" vertical="center"/>
    </xf>
    <xf numFmtId="0" fontId="57" fillId="0" borderId="32" xfId="2" applyFont="1" applyBorder="1" applyAlignment="1">
      <alignment horizontal="left" vertical="center" wrapText="1" indent="1"/>
    </xf>
    <xf numFmtId="0" fontId="56" fillId="0" borderId="32" xfId="2" applyFont="1" applyBorder="1" applyAlignment="1">
      <alignment horizontal="left" vertical="center" wrapText="1" indent="1"/>
    </xf>
    <xf numFmtId="0" fontId="57" fillId="0" borderId="32" xfId="2" applyFont="1" applyBorder="1" applyAlignment="1">
      <alignment horizontal="left" vertical="center" wrapText="1"/>
    </xf>
    <xf numFmtId="1" fontId="48" fillId="0" borderId="34" xfId="0" applyNumberFormat="1" applyFont="1" applyBorder="1" applyAlignment="1">
      <alignment horizontal="center" vertical="center" wrapText="1"/>
    </xf>
    <xf numFmtId="0" fontId="0" fillId="0" borderId="34" xfId="0" applyFont="1" applyBorder="1" applyAlignment="1">
      <alignment horizontal="center" vertical="center" wrapText="1"/>
    </xf>
    <xf numFmtId="0" fontId="48" fillId="0" borderId="34" xfId="0" applyFont="1" applyBorder="1" applyAlignment="1">
      <alignment horizontal="center" vertical="center" wrapText="1"/>
    </xf>
    <xf numFmtId="0" fontId="48" fillId="0" borderId="34" xfId="0" applyFont="1" applyBorder="1" applyAlignment="1">
      <alignment horizontal="left" vertical="center" wrapText="1" indent="1"/>
    </xf>
    <xf numFmtId="0" fontId="48" fillId="0" borderId="32" xfId="0" applyFont="1" applyBorder="1" applyAlignment="1">
      <alignment horizontal="center" vertical="center" wrapText="1"/>
    </xf>
    <xf numFmtId="0" fontId="48" fillId="0" borderId="32" xfId="0" applyFont="1" applyBorder="1" applyAlignment="1">
      <alignment horizontal="left" vertical="center" wrapText="1" indent="1"/>
    </xf>
    <xf numFmtId="0" fontId="51" fillId="0" borderId="32" xfId="0" applyFont="1" applyBorder="1" applyAlignment="1">
      <alignment horizontal="center" vertical="center" wrapText="1"/>
    </xf>
    <xf numFmtId="0" fontId="0" fillId="0" borderId="32" xfId="0" applyFont="1" applyBorder="1" applyAlignment="1">
      <alignment horizontal="center" vertical="center" wrapText="1"/>
    </xf>
    <xf numFmtId="0" fontId="0" fillId="0" borderId="32" xfId="2" applyFont="1" applyBorder="1" applyAlignment="1">
      <alignment horizontal="center" vertical="center" wrapText="1"/>
    </xf>
    <xf numFmtId="0" fontId="0" fillId="0" borderId="32" xfId="2" applyFont="1" applyFill="1" applyBorder="1" applyAlignment="1">
      <alignment vertical="center" wrapText="1"/>
    </xf>
    <xf numFmtId="0" fontId="0" fillId="0" borderId="32" xfId="2" applyFont="1" applyFill="1" applyBorder="1" applyAlignment="1">
      <alignment horizontal="center" vertical="center" wrapText="1"/>
    </xf>
    <xf numFmtId="0" fontId="48" fillId="0" borderId="32" xfId="2" applyFont="1" applyBorder="1" applyAlignment="1">
      <alignment horizontal="center" vertical="center" wrapText="1"/>
    </xf>
    <xf numFmtId="0" fontId="0" fillId="0" borderId="32" xfId="2" applyFont="1" applyBorder="1" applyAlignment="1">
      <alignment horizontal="left" vertical="center" wrapText="1" indent="1"/>
    </xf>
    <xf numFmtId="9" fontId="48" fillId="0" borderId="33" xfId="2" applyNumberFormat="1" applyFont="1" applyBorder="1" applyAlignment="1">
      <alignment horizontal="center" vertical="center" wrapText="1"/>
    </xf>
    <xf numFmtId="0" fontId="0" fillId="0" borderId="33" xfId="2" applyFont="1" applyBorder="1" applyAlignment="1">
      <alignment horizontal="center" vertical="center" wrapText="1"/>
    </xf>
    <xf numFmtId="0" fontId="48" fillId="0" borderId="32" xfId="2" applyFont="1" applyFill="1" applyBorder="1" applyAlignment="1">
      <alignment vertical="center" wrapText="1"/>
    </xf>
    <xf numFmtId="9" fontId="48" fillId="0" borderId="58" xfId="2" applyNumberFormat="1" applyFont="1" applyBorder="1" applyAlignment="1">
      <alignment horizontal="center" vertical="center" wrapText="1"/>
    </xf>
    <xf numFmtId="166" fontId="51" fillId="0" borderId="32" xfId="0" applyNumberFormat="1" applyFont="1" applyBorder="1" applyAlignment="1">
      <alignment horizontal="center" vertical="center"/>
    </xf>
    <xf numFmtId="0" fontId="48" fillId="0" borderId="32" xfId="2" applyFont="1" applyFill="1" applyBorder="1" applyAlignment="1">
      <alignment horizontal="left" vertical="center" wrapText="1" indent="1"/>
    </xf>
    <xf numFmtId="0" fontId="48" fillId="0" borderId="32" xfId="2" applyFont="1" applyBorder="1" applyAlignment="1">
      <alignment horizontal="left" vertical="top" wrapText="1" indent="1"/>
    </xf>
    <xf numFmtId="0" fontId="0" fillId="0" borderId="32" xfId="2" applyFont="1" applyFill="1" applyBorder="1" applyAlignment="1">
      <alignment horizontal="left" vertical="center" wrapText="1" indent="1"/>
    </xf>
    <xf numFmtId="0" fontId="0" fillId="0" borderId="32" xfId="0" applyFont="1" applyBorder="1" applyAlignment="1">
      <alignment horizontal="left" vertical="center" wrapText="1" indent="1"/>
    </xf>
    <xf numFmtId="0" fontId="48" fillId="0" borderId="32" xfId="2" applyFont="1" applyBorder="1" applyAlignment="1">
      <alignment horizontal="left" vertical="center" wrapText="1" indent="1"/>
    </xf>
    <xf numFmtId="0" fontId="48" fillId="0" borderId="32" xfId="0" applyFont="1" applyBorder="1" applyAlignment="1">
      <alignment horizontal="left" vertical="top" wrapText="1" indent="1"/>
    </xf>
    <xf numFmtId="0" fontId="48" fillId="0" borderId="32" xfId="2" applyFont="1" applyFill="1" applyBorder="1" applyAlignment="1">
      <alignment horizontal="center" vertical="center" wrapText="1"/>
    </xf>
    <xf numFmtId="49" fontId="44" fillId="15" borderId="0" xfId="0" applyNumberFormat="1" applyFont="1" applyFill="1" applyAlignment="1">
      <alignment horizontal="center"/>
    </xf>
    <xf numFmtId="0" fontId="44" fillId="15" borderId="0" xfId="0" applyFont="1" applyFill="1" applyAlignment="1">
      <alignment horizontal="center"/>
    </xf>
    <xf numFmtId="0" fontId="45" fillId="0" borderId="0" xfId="0" applyFont="1" applyAlignment="1">
      <alignment horizontal="center"/>
    </xf>
    <xf numFmtId="0" fontId="15" fillId="7" borderId="1" xfId="0" applyFont="1" applyFill="1" applyBorder="1" applyAlignment="1" applyProtection="1">
      <alignment horizontal="left" wrapText="1"/>
      <protection locked="0"/>
    </xf>
    <xf numFmtId="0" fontId="16" fillId="0" borderId="0" xfId="0" applyFont="1" applyAlignment="1" applyProtection="1">
      <alignment horizontal="center" vertical="center" wrapText="1"/>
    </xf>
    <xf numFmtId="0" fontId="0" fillId="7" borderId="1" xfId="0" applyFill="1" applyBorder="1" applyAlignment="1" applyProtection="1">
      <alignment horizontal="left"/>
      <protection locked="0"/>
    </xf>
    <xf numFmtId="0" fontId="0" fillId="0" borderId="1" xfId="0" applyBorder="1" applyAlignment="1" applyProtection="1">
      <protection locked="0"/>
    </xf>
    <xf numFmtId="0" fontId="3" fillId="0" borderId="4" xfId="1" applyFont="1" applyBorder="1" applyAlignment="1" applyProtection="1">
      <alignment horizontal="right" vertical="center" wrapText="1"/>
    </xf>
    <xf numFmtId="0" fontId="3" fillId="0" borderId="5" xfId="1" applyBorder="1" applyAlignment="1" applyProtection="1">
      <alignment horizontal="right" vertical="center"/>
    </xf>
    <xf numFmtId="0" fontId="0" fillId="7" borderId="19" xfId="0" applyFill="1" applyBorder="1" applyAlignment="1" applyProtection="1">
      <alignment horizontal="center" wrapText="1"/>
      <protection locked="0"/>
    </xf>
    <xf numFmtId="0" fontId="0" fillId="7" borderId="20" xfId="0" applyFill="1" applyBorder="1" applyAlignment="1" applyProtection="1">
      <alignment horizontal="center" wrapText="1"/>
      <protection locked="0"/>
    </xf>
    <xf numFmtId="0" fontId="0" fillId="7" borderId="7" xfId="0" applyFill="1" applyBorder="1" applyAlignment="1" applyProtection="1">
      <alignment horizontal="center" vertical="top" wrapText="1"/>
      <protection locked="0"/>
    </xf>
    <xf numFmtId="0" fontId="0" fillId="7" borderId="8" xfId="0" applyFill="1" applyBorder="1" applyAlignment="1" applyProtection="1">
      <alignment horizontal="center" vertical="top" wrapText="1"/>
      <protection locked="0"/>
    </xf>
    <xf numFmtId="0" fontId="5" fillId="7" borderId="21" xfId="0" applyFont="1" applyFill="1" applyBorder="1" applyAlignment="1" applyProtection="1">
      <alignment horizontal="left" vertical="center" wrapText="1"/>
      <protection locked="0"/>
    </xf>
    <xf numFmtId="0" fontId="5" fillId="7" borderId="20" xfId="0" applyFont="1" applyFill="1" applyBorder="1" applyAlignment="1" applyProtection="1">
      <alignment horizontal="left" vertical="center" wrapText="1"/>
      <protection locked="0"/>
    </xf>
    <xf numFmtId="49" fontId="54" fillId="0" borderId="56" xfId="2" applyNumberFormat="1" applyFont="1" applyFill="1" applyBorder="1" applyAlignment="1">
      <alignment horizontal="center" vertical="center"/>
    </xf>
    <xf numFmtId="0" fontId="55" fillId="0" borderId="32" xfId="2" applyFont="1" applyFill="1" applyBorder="1" applyAlignment="1">
      <alignment horizontal="center" vertical="center" wrapText="1"/>
    </xf>
    <xf numFmtId="0" fontId="56" fillId="0" borderId="32" xfId="2" applyFont="1" applyBorder="1" applyAlignment="1">
      <alignment horizontal="center" vertical="center" wrapText="1"/>
    </xf>
    <xf numFmtId="49" fontId="54" fillId="0" borderId="51" xfId="2" applyNumberFormat="1" applyFont="1" applyFill="1" applyBorder="1" applyAlignment="1">
      <alignment horizontal="center" vertical="center"/>
    </xf>
    <xf numFmtId="49" fontId="54" fillId="0" borderId="53" xfId="2" applyNumberFormat="1" applyFont="1" applyFill="1" applyBorder="1" applyAlignment="1">
      <alignment horizontal="center" vertical="center"/>
    </xf>
    <xf numFmtId="0" fontId="55" fillId="0" borderId="52" xfId="2" applyFont="1" applyFill="1" applyBorder="1" applyAlignment="1">
      <alignment horizontal="center" vertical="center" wrapText="1"/>
    </xf>
    <xf numFmtId="0" fontId="55" fillId="0" borderId="34" xfId="2" applyFont="1" applyFill="1" applyBorder="1" applyAlignment="1">
      <alignment horizontal="center" vertical="center" wrapText="1"/>
    </xf>
    <xf numFmtId="49" fontId="54" fillId="0" borderId="55" xfId="2" applyNumberFormat="1" applyFont="1" applyFill="1" applyBorder="1" applyAlignment="1">
      <alignment horizontal="center" vertical="center"/>
    </xf>
    <xf numFmtId="0" fontId="55" fillId="0" borderId="33" xfId="2" applyFont="1" applyFill="1" applyBorder="1" applyAlignment="1">
      <alignment horizontal="center" vertical="center" wrapText="1"/>
    </xf>
    <xf numFmtId="165" fontId="46" fillId="0" borderId="42" xfId="2" applyNumberFormat="1" applyFont="1" applyBorder="1" applyAlignment="1" applyProtection="1">
      <alignment horizontal="center" vertical="center"/>
    </xf>
    <xf numFmtId="0" fontId="46" fillId="0" borderId="42" xfId="2" applyFont="1" applyBorder="1" applyAlignment="1" applyProtection="1">
      <alignment horizontal="center" vertical="center" wrapText="1"/>
      <protection locked="0"/>
    </xf>
    <xf numFmtId="0" fontId="47" fillId="0" borderId="43" xfId="2" applyFont="1" applyBorder="1" applyAlignment="1" applyProtection="1">
      <alignment horizontal="center" vertical="center" wrapText="1"/>
      <protection locked="0"/>
    </xf>
    <xf numFmtId="0" fontId="47" fillId="0" borderId="42" xfId="2" applyFont="1" applyBorder="1" applyAlignment="1" applyProtection="1">
      <alignment horizontal="center" vertical="center" wrapText="1"/>
      <protection locked="0"/>
    </xf>
    <xf numFmtId="165" fontId="46" fillId="0" borderId="50" xfId="2" applyNumberFormat="1" applyFont="1" applyBorder="1" applyAlignment="1" applyProtection="1">
      <alignment horizontal="center" vertical="center"/>
    </xf>
    <xf numFmtId="165" fontId="46" fillId="0" borderId="45" xfId="2" applyNumberFormat="1" applyFont="1" applyBorder="1" applyAlignment="1" applyProtection="1">
      <alignment horizontal="center" vertical="center"/>
    </xf>
    <xf numFmtId="0" fontId="53" fillId="0" borderId="33" xfId="2" applyFont="1" applyBorder="1" applyAlignment="1">
      <alignment horizontal="center" vertical="center" wrapText="1"/>
    </xf>
    <xf numFmtId="0" fontId="53" fillId="0" borderId="52" xfId="2" applyFont="1" applyBorder="1" applyAlignment="1">
      <alignment horizontal="center" vertical="center" wrapText="1"/>
    </xf>
    <xf numFmtId="0" fontId="53" fillId="0" borderId="34" xfId="2" applyFont="1" applyBorder="1" applyAlignment="1">
      <alignment horizontal="center" vertical="center" wrapText="1"/>
    </xf>
    <xf numFmtId="0" fontId="47" fillId="0" borderId="44" xfId="2" applyFont="1" applyBorder="1" applyAlignment="1">
      <alignment horizontal="center" vertical="center" wrapText="1"/>
    </xf>
    <xf numFmtId="0" fontId="47" fillId="0" borderId="45" xfId="2" applyFont="1" applyBorder="1" applyAlignment="1">
      <alignment horizontal="center" vertical="center" wrapText="1"/>
    </xf>
    <xf numFmtId="0" fontId="47" fillId="0" borderId="42" xfId="2" applyFont="1" applyBorder="1" applyAlignment="1">
      <alignment horizontal="center" vertical="center" wrapText="1"/>
    </xf>
    <xf numFmtId="49" fontId="52" fillId="0" borderId="51" xfId="2" applyNumberFormat="1" applyFont="1" applyFill="1" applyBorder="1" applyAlignment="1">
      <alignment horizontal="center" vertical="center"/>
    </xf>
    <xf numFmtId="49" fontId="52" fillId="0" borderId="53" xfId="2" applyNumberFormat="1" applyFont="1" applyFill="1" applyBorder="1" applyAlignment="1">
      <alignment horizontal="center" vertical="center"/>
    </xf>
    <xf numFmtId="0" fontId="46" fillId="0" borderId="52" xfId="2" applyFont="1" applyFill="1" applyBorder="1" applyAlignment="1">
      <alignment horizontal="center" vertical="center" wrapText="1"/>
    </xf>
    <xf numFmtId="0" fontId="46" fillId="0" borderId="34" xfId="2" applyFont="1" applyFill="1" applyBorder="1" applyAlignment="1">
      <alignment horizontal="center" vertical="center" wrapText="1"/>
    </xf>
    <xf numFmtId="0" fontId="53" fillId="0" borderId="54" xfId="2" applyFont="1" applyBorder="1" applyAlignment="1">
      <alignment horizontal="center" vertical="center" wrapText="1"/>
    </xf>
    <xf numFmtId="49" fontId="52" fillId="0" borderId="55" xfId="2" applyNumberFormat="1" applyFont="1" applyFill="1" applyBorder="1" applyAlignment="1">
      <alignment horizontal="center" vertical="center"/>
    </xf>
    <xf numFmtId="0" fontId="46" fillId="0" borderId="33" xfId="2" applyFont="1" applyFill="1" applyBorder="1" applyAlignment="1">
      <alignment horizontal="center" vertical="center" wrapText="1"/>
    </xf>
    <xf numFmtId="0" fontId="46" fillId="0" borderId="54" xfId="2" applyFont="1" applyFill="1" applyBorder="1" applyAlignment="1">
      <alignment horizontal="center" vertical="center" wrapText="1"/>
    </xf>
    <xf numFmtId="0" fontId="3" fillId="12" borderId="0" xfId="1" applyNumberFormat="1" applyFill="1" applyAlignment="1" applyProtection="1">
      <alignment horizontal="center" vertical="center" wrapText="1"/>
      <protection hidden="1"/>
    </xf>
    <xf numFmtId="0" fontId="4" fillId="0" borderId="1" xfId="0" applyNumberFormat="1" applyFont="1" applyBorder="1" applyAlignment="1" applyProtection="1">
      <alignment horizontal="left"/>
      <protection locked="0"/>
    </xf>
    <xf numFmtId="0" fontId="5" fillId="0" borderId="1" xfId="0" applyFont="1" applyBorder="1" applyAlignment="1" applyProtection="1">
      <protection locked="0"/>
    </xf>
    <xf numFmtId="0" fontId="5" fillId="0" borderId="15" xfId="0" applyFont="1" applyBorder="1" applyAlignment="1" applyProtection="1">
      <protection locked="0"/>
    </xf>
    <xf numFmtId="0" fontId="4" fillId="0" borderId="1" xfId="0" applyFont="1" applyBorder="1" applyAlignment="1" applyProtection="1">
      <protection locked="0"/>
    </xf>
    <xf numFmtId="0" fontId="5" fillId="0" borderId="1" xfId="0" applyFont="1" applyBorder="1" applyAlignment="1"/>
    <xf numFmtId="0" fontId="6" fillId="0" borderId="1" xfId="0" applyFont="1" applyBorder="1" applyAlignment="1" applyProtection="1">
      <alignment vertical="center" wrapText="1"/>
    </xf>
    <xf numFmtId="0" fontId="6" fillId="0" borderId="1" xfId="0" applyFont="1" applyBorder="1" applyAlignment="1">
      <alignment vertical="center" wrapText="1"/>
    </xf>
    <xf numFmtId="0" fontId="5" fillId="0" borderId="17" xfId="0" applyFont="1" applyBorder="1" applyAlignment="1" applyProtection="1">
      <alignment horizontal="center"/>
      <protection locked="0"/>
    </xf>
    <xf numFmtId="0" fontId="5" fillId="0" borderId="18" xfId="0" applyFont="1" applyBorder="1" applyAlignment="1" applyProtection="1">
      <alignment horizontal="center"/>
      <protection locked="0"/>
    </xf>
    <xf numFmtId="0" fontId="5" fillId="0" borderId="14" xfId="0" applyFont="1" applyBorder="1" applyAlignment="1" applyProtection="1">
      <alignment horizontal="center"/>
      <protection locked="0"/>
    </xf>
    <xf numFmtId="0" fontId="1" fillId="12" borderId="22" xfId="1" applyFont="1" applyFill="1" applyBorder="1" applyAlignment="1" applyProtection="1">
      <alignment horizontal="center" vertical="center" wrapText="1"/>
      <protection hidden="1"/>
    </xf>
    <xf numFmtId="0" fontId="6" fillId="0" borderId="1" xfId="0" applyNumberFormat="1" applyFont="1" applyBorder="1" applyAlignment="1" applyProtection="1">
      <alignment vertical="center" wrapText="1"/>
    </xf>
    <xf numFmtId="0" fontId="3" fillId="12" borderId="22" xfId="1" applyFill="1" applyBorder="1" applyAlignment="1" applyProtection="1">
      <alignment horizontal="center" vertical="center" wrapText="1"/>
      <protection hidden="1"/>
    </xf>
    <xf numFmtId="0" fontId="6" fillId="0" borderId="17"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17" xfId="0" applyFont="1" applyFill="1" applyBorder="1" applyAlignment="1">
      <alignment horizontal="center" vertical="center" wrapText="1"/>
    </xf>
    <xf numFmtId="0" fontId="6" fillId="0" borderId="18" xfId="0" applyFont="1" applyFill="1" applyBorder="1" applyAlignment="1">
      <alignment horizontal="center" vertical="center" wrapText="1"/>
    </xf>
    <xf numFmtId="0" fontId="6" fillId="0" borderId="14" xfId="0" applyFont="1" applyFill="1" applyBorder="1" applyAlignment="1">
      <alignment horizontal="center" vertical="center" wrapText="1"/>
    </xf>
    <xf numFmtId="0" fontId="6" fillId="0" borderId="1" xfId="0" applyNumberFormat="1" applyFont="1" applyBorder="1" applyAlignment="1" applyProtection="1">
      <alignment horizontal="center" vertical="center"/>
    </xf>
    <xf numFmtId="0" fontId="6" fillId="0" borderId="17" xfId="0" applyFont="1" applyBorder="1" applyAlignment="1">
      <alignment horizontal="center" vertical="center"/>
    </xf>
    <xf numFmtId="0" fontId="6" fillId="0" borderId="14" xfId="0" applyFont="1" applyFill="1" applyBorder="1" applyAlignment="1" applyProtection="1">
      <alignment horizontal="center" vertical="center" wrapText="1"/>
    </xf>
    <xf numFmtId="0" fontId="6" fillId="0" borderId="1" xfId="0" applyFont="1" applyFill="1" applyBorder="1" applyAlignment="1">
      <alignment horizontal="center" vertical="center" wrapText="1"/>
    </xf>
    <xf numFmtId="0" fontId="6" fillId="0" borderId="17" xfId="0" applyFont="1" applyBorder="1" applyAlignment="1" applyProtection="1">
      <alignment horizontal="center" vertical="center" wrapText="1"/>
    </xf>
    <xf numFmtId="0" fontId="6" fillId="0" borderId="18" xfId="0" applyFont="1" applyBorder="1" applyAlignment="1" applyProtection="1">
      <alignment horizontal="center" vertical="center" wrapText="1"/>
    </xf>
    <xf numFmtId="0" fontId="6" fillId="0" borderId="14" xfId="0" applyFont="1" applyBorder="1" applyAlignment="1" applyProtection="1">
      <alignment horizontal="center" vertical="center" wrapText="1"/>
    </xf>
    <xf numFmtId="0" fontId="6" fillId="0" borderId="1" xfId="0" applyFont="1" applyFill="1" applyBorder="1" applyAlignment="1" applyProtection="1">
      <alignment horizontal="center" vertical="center" wrapText="1"/>
    </xf>
    <xf numFmtId="0" fontId="6" fillId="0" borderId="17" xfId="0" applyFont="1" applyBorder="1" applyAlignment="1" applyProtection="1">
      <alignment horizontal="left" vertical="center" wrapText="1"/>
    </xf>
    <xf numFmtId="0" fontId="6" fillId="0" borderId="18" xfId="0" applyFont="1" applyBorder="1" applyAlignment="1" applyProtection="1">
      <alignment horizontal="left" vertical="center" wrapText="1"/>
    </xf>
    <xf numFmtId="0" fontId="6" fillId="0" borderId="14" xfId="0" applyFont="1" applyBorder="1" applyAlignment="1" applyProtection="1">
      <alignment horizontal="left" vertical="center" wrapText="1"/>
    </xf>
    <xf numFmtId="0" fontId="4" fillId="0" borderId="23" xfId="0" applyFont="1" applyBorder="1" applyAlignment="1" applyProtection="1">
      <alignment horizontal="center"/>
      <protection locked="0"/>
    </xf>
    <xf numFmtId="0" fontId="4" fillId="0" borderId="46" xfId="0" applyFont="1" applyBorder="1" applyAlignment="1" applyProtection="1">
      <alignment horizontal="center"/>
      <protection locked="0"/>
    </xf>
    <xf numFmtId="0" fontId="4" fillId="0" borderId="18" xfId="0" applyFont="1" applyBorder="1" applyAlignment="1" applyProtection="1">
      <alignment horizontal="center"/>
      <protection locked="0"/>
    </xf>
    <xf numFmtId="0" fontId="4" fillId="0" borderId="14" xfId="0" applyFont="1" applyBorder="1" applyAlignment="1" applyProtection="1">
      <alignment horizontal="center"/>
      <protection locked="0"/>
    </xf>
    <xf numFmtId="0" fontId="4" fillId="0" borderId="17" xfId="0" applyFont="1" applyBorder="1" applyAlignment="1" applyProtection="1">
      <alignment horizontal="center"/>
      <protection locked="0"/>
    </xf>
    <xf numFmtId="165" fontId="42" fillId="0" borderId="42" xfId="2" applyNumberFormat="1" applyFont="1" applyBorder="1" applyAlignment="1" applyProtection="1">
      <alignment horizontal="center" vertical="center"/>
    </xf>
    <xf numFmtId="0" fontId="42" fillId="0" borderId="42" xfId="2" applyFont="1" applyBorder="1" applyAlignment="1" applyProtection="1">
      <alignment horizontal="center" vertical="center" wrapText="1"/>
      <protection locked="0"/>
    </xf>
    <xf numFmtId="0" fontId="26" fillId="0" borderId="43" xfId="2" applyFont="1" applyBorder="1" applyAlignment="1" applyProtection="1">
      <alignment horizontal="left" vertical="top" wrapText="1"/>
      <protection locked="0"/>
    </xf>
    <xf numFmtId="0" fontId="26" fillId="0" borderId="42" xfId="2" applyFont="1" applyBorder="1" applyAlignment="1" applyProtection="1">
      <alignment vertical="top" wrapText="1"/>
      <protection locked="0"/>
    </xf>
    <xf numFmtId="0" fontId="26" fillId="0" borderId="44" xfId="2" applyFont="1" applyBorder="1" applyAlignment="1">
      <alignment horizontal="center" vertical="center" wrapText="1"/>
    </xf>
    <xf numFmtId="0" fontId="26" fillId="0" borderId="45" xfId="2" applyFont="1" applyBorder="1" applyAlignment="1">
      <alignment horizontal="center" vertical="center" wrapText="1"/>
    </xf>
    <xf numFmtId="0" fontId="26" fillId="0" borderId="42" xfId="2" applyFont="1" applyBorder="1" applyAlignment="1">
      <alignment horizontal="center" vertical="center" wrapText="1"/>
    </xf>
    <xf numFmtId="0" fontId="26" fillId="0" borderId="42" xfId="2" applyFont="1" applyBorder="1" applyAlignment="1" applyProtection="1">
      <alignment horizontal="center" vertical="center" wrapText="1"/>
      <protection locked="0"/>
    </xf>
    <xf numFmtId="0" fontId="26" fillId="0" borderId="42" xfId="2" applyFont="1" applyBorder="1" applyAlignment="1" applyProtection="1">
      <alignment horizontal="left" vertical="center" wrapText="1"/>
      <protection locked="0"/>
    </xf>
    <xf numFmtId="0" fontId="26" fillId="0" borderId="43" xfId="2" applyFont="1" applyBorder="1" applyAlignment="1" applyProtection="1">
      <alignment horizontal="left" vertical="center" wrapText="1"/>
      <protection locked="0"/>
    </xf>
    <xf numFmtId="0" fontId="5" fillId="0" borderId="0" xfId="0" applyFont="1" applyAlignment="1" applyProtection="1">
      <alignment wrapText="1"/>
      <protection locked="0"/>
    </xf>
    <xf numFmtId="0" fontId="10" fillId="12" borderId="0" xfId="0" applyFont="1" applyFill="1" applyAlignment="1">
      <alignment horizontal="center" wrapText="1"/>
    </xf>
    <xf numFmtId="0" fontId="0" fillId="12" borderId="0" xfId="0" applyFill="1" applyAlignment="1">
      <alignment horizontal="center" wrapText="1"/>
    </xf>
    <xf numFmtId="0" fontId="2" fillId="0" borderId="0" xfId="0" applyFont="1" applyAlignment="1">
      <alignment wrapText="1"/>
    </xf>
    <xf numFmtId="0" fontId="5" fillId="0" borderId="0" xfId="0" applyFont="1" applyAlignment="1">
      <alignment wrapText="1"/>
    </xf>
    <xf numFmtId="0" fontId="4" fillId="0" borderId="18" xfId="0" applyFont="1" applyBorder="1" applyAlignment="1" applyProtection="1">
      <alignment horizontal="center" vertical="top"/>
    </xf>
    <xf numFmtId="0" fontId="0" fillId="0" borderId="18" xfId="0" applyBorder="1" applyAlignment="1">
      <alignment horizontal="center" vertical="top"/>
    </xf>
    <xf numFmtId="0" fontId="24" fillId="13" borderId="0" xfId="2" applyFont="1" applyFill="1" applyBorder="1" applyAlignment="1">
      <alignment horizontal="center"/>
    </xf>
    <xf numFmtId="164" fontId="23" fillId="13" borderId="29" xfId="2" applyNumberFormat="1" applyFont="1" applyFill="1" applyBorder="1" applyAlignment="1" applyProtection="1">
      <alignment horizontal="center"/>
      <protection locked="0"/>
    </xf>
    <xf numFmtId="0" fontId="32" fillId="13" borderId="32" xfId="2" applyFont="1" applyFill="1" applyBorder="1" applyAlignment="1">
      <alignment horizontal="center" wrapText="1"/>
    </xf>
    <xf numFmtId="0" fontId="32" fillId="13" borderId="32" xfId="2" applyFont="1" applyFill="1" applyBorder="1" applyAlignment="1">
      <alignment horizontal="center" vertical="top" wrapText="1"/>
    </xf>
    <xf numFmtId="0" fontId="26" fillId="13" borderId="32" xfId="2" applyFont="1" applyFill="1" applyBorder="1" applyAlignment="1">
      <alignment horizontal="center" vertical="center"/>
    </xf>
    <xf numFmtId="0" fontId="34" fillId="13" borderId="32" xfId="2" applyFont="1" applyFill="1" applyBorder="1" applyAlignment="1">
      <alignment horizontal="center" wrapText="1"/>
    </xf>
    <xf numFmtId="0" fontId="33" fillId="13" borderId="33" xfId="2" applyFont="1" applyFill="1" applyBorder="1" applyAlignment="1">
      <alignment horizontal="center" wrapText="1"/>
    </xf>
    <xf numFmtId="0" fontId="34" fillId="13" borderId="34" xfId="2" applyFont="1" applyFill="1" applyBorder="1" applyAlignment="1">
      <alignment horizontal="center" wrapText="1"/>
    </xf>
    <xf numFmtId="0" fontId="26" fillId="13" borderId="24" xfId="2" applyFont="1" applyFill="1" applyBorder="1" applyAlignment="1">
      <alignment horizontal="left"/>
    </xf>
    <xf numFmtId="0" fontId="26" fillId="13" borderId="25" xfId="2" applyFont="1" applyFill="1" applyBorder="1" applyAlignment="1">
      <alignment horizontal="left"/>
    </xf>
    <xf numFmtId="0" fontId="26" fillId="13" borderId="26" xfId="2" applyFont="1" applyFill="1" applyBorder="1" applyAlignment="1">
      <alignment horizontal="left"/>
    </xf>
    <xf numFmtId="0" fontId="28" fillId="13" borderId="27" xfId="2" applyFont="1" applyFill="1" applyBorder="1" applyAlignment="1">
      <alignment horizontal="left"/>
    </xf>
    <xf numFmtId="0" fontId="28" fillId="13" borderId="0" xfId="2" applyFont="1" applyFill="1" applyBorder="1" applyAlignment="1">
      <alignment horizontal="left"/>
    </xf>
    <xf numFmtId="0" fontId="28" fillId="13" borderId="28" xfId="2" applyFont="1" applyFill="1" applyBorder="1" applyAlignment="1">
      <alignment horizontal="left"/>
    </xf>
    <xf numFmtId="0" fontId="23" fillId="13" borderId="29" xfId="2" applyFont="1" applyFill="1" applyBorder="1" applyAlignment="1">
      <alignment horizontal="center"/>
    </xf>
    <xf numFmtId="0" fontId="23" fillId="13" borderId="30" xfId="2" applyFont="1" applyFill="1" applyBorder="1" applyAlignment="1">
      <alignment horizontal="center"/>
    </xf>
    <xf numFmtId="0" fontId="23" fillId="13" borderId="31" xfId="2" applyFont="1" applyFill="1" applyBorder="1" applyAlignment="1">
      <alignment horizontal="center"/>
    </xf>
    <xf numFmtId="0" fontId="33" fillId="13" borderId="32" xfId="2" applyFont="1" applyFill="1" applyBorder="1" applyAlignment="1">
      <alignment horizontal="center" wrapText="1"/>
    </xf>
    <xf numFmtId="0" fontId="32" fillId="13" borderId="32" xfId="2" applyFont="1" applyFill="1" applyBorder="1" applyAlignment="1">
      <alignment horizontal="center"/>
    </xf>
    <xf numFmtId="0" fontId="48" fillId="0" borderId="33" xfId="0" applyFont="1" applyBorder="1" applyAlignment="1">
      <alignment horizontal="center" vertical="center" wrapText="1"/>
    </xf>
    <xf numFmtId="0" fontId="48" fillId="0" borderId="34" xfId="0" applyFont="1" applyBorder="1" applyAlignment="1">
      <alignment horizontal="center" vertical="center" wrapText="1"/>
    </xf>
    <xf numFmtId="0" fontId="48" fillId="0" borderId="52" xfId="0" applyFont="1" applyBorder="1" applyAlignment="1">
      <alignment horizontal="center" vertical="center" wrapText="1"/>
    </xf>
    <xf numFmtId="49" fontId="48" fillId="0" borderId="33" xfId="2" applyNumberFormat="1" applyFont="1" applyBorder="1" applyAlignment="1">
      <alignment horizontal="center" vertical="center" wrapText="1"/>
    </xf>
    <xf numFmtId="49" fontId="48" fillId="0" borderId="52" xfId="2" applyNumberFormat="1" applyFont="1" applyBorder="1" applyAlignment="1">
      <alignment horizontal="center" vertical="center" wrapText="1"/>
    </xf>
    <xf numFmtId="49" fontId="48" fillId="0" borderId="54" xfId="2" applyNumberFormat="1" applyFont="1" applyBorder="1" applyAlignment="1">
      <alignment horizontal="center" vertical="center" wrapText="1"/>
    </xf>
    <xf numFmtId="0" fontId="0" fillId="0" borderId="33" xfId="2" applyFont="1" applyBorder="1" applyAlignment="1">
      <alignment horizontal="center" vertical="center" wrapText="1"/>
    </xf>
    <xf numFmtId="0" fontId="48" fillId="0" borderId="52" xfId="2" applyFont="1" applyBorder="1" applyAlignment="1">
      <alignment horizontal="center" vertical="center" wrapText="1"/>
    </xf>
    <xf numFmtId="0" fontId="48" fillId="0" borderId="54" xfId="2" applyFont="1" applyBorder="1" applyAlignment="1">
      <alignment horizontal="center" vertical="center" wrapText="1"/>
    </xf>
    <xf numFmtId="0" fontId="48" fillId="0" borderId="54" xfId="0" applyFont="1" applyBorder="1" applyAlignment="1">
      <alignment horizontal="center" vertical="center" wrapText="1"/>
    </xf>
    <xf numFmtId="9" fontId="48" fillId="0" borderId="33" xfId="0" applyNumberFormat="1" applyFont="1" applyBorder="1" applyAlignment="1">
      <alignment horizontal="center" vertical="center" wrapText="1"/>
    </xf>
    <xf numFmtId="0" fontId="48" fillId="0" borderId="33" xfId="2" applyFont="1" applyBorder="1" applyAlignment="1">
      <alignment horizontal="center" vertical="center" wrapText="1"/>
    </xf>
    <xf numFmtId="0" fontId="0" fillId="0" borderId="33" xfId="0" applyFont="1" applyBorder="1" applyAlignment="1">
      <alignment horizontal="center" vertical="center" wrapText="1"/>
    </xf>
    <xf numFmtId="0" fontId="0" fillId="0" borderId="52" xfId="0" applyFont="1" applyBorder="1" applyAlignment="1">
      <alignment horizontal="center" vertical="center" wrapText="1"/>
    </xf>
    <xf numFmtId="0" fontId="0" fillId="0" borderId="54" xfId="0" applyFont="1" applyBorder="1" applyAlignment="1">
      <alignment horizontal="center" vertical="center" wrapText="1"/>
    </xf>
    <xf numFmtId="0" fontId="0" fillId="0" borderId="34" xfId="2" applyFont="1" applyBorder="1" applyAlignment="1">
      <alignment horizontal="center" vertical="center" wrapText="1"/>
    </xf>
    <xf numFmtId="49" fontId="48" fillId="0" borderId="34" xfId="2" applyNumberFormat="1" applyFont="1" applyBorder="1" applyAlignment="1">
      <alignment horizontal="center" vertical="center" wrapText="1"/>
    </xf>
    <xf numFmtId="0" fontId="0" fillId="0" borderId="52" xfId="2" applyFont="1" applyBorder="1" applyAlignment="1">
      <alignment horizontal="center" vertical="center" wrapText="1"/>
    </xf>
    <xf numFmtId="9" fontId="48" fillId="0" borderId="34" xfId="0" applyNumberFormat="1" applyFont="1" applyBorder="1" applyAlignment="1">
      <alignment horizontal="center" vertical="center" wrapText="1"/>
    </xf>
    <xf numFmtId="0" fontId="48" fillId="0" borderId="34" xfId="2" applyFont="1" applyBorder="1" applyAlignment="1">
      <alignment horizontal="center" vertical="center" wrapText="1"/>
    </xf>
    <xf numFmtId="0" fontId="0" fillId="0" borderId="34" xfId="0" applyFont="1" applyBorder="1" applyAlignment="1">
      <alignment horizontal="center" vertical="center" wrapText="1"/>
    </xf>
    <xf numFmtId="9" fontId="48" fillId="0" borderId="33" xfId="2" applyNumberFormat="1" applyFont="1" applyBorder="1" applyAlignment="1">
      <alignment horizontal="center" vertical="center" wrapText="1"/>
    </xf>
    <xf numFmtId="0" fontId="0" fillId="14" borderId="33" xfId="2" applyFont="1" applyFill="1" applyBorder="1" applyAlignment="1">
      <alignment horizontal="center" vertical="center" wrapText="1"/>
    </xf>
    <xf numFmtId="0" fontId="0" fillId="14" borderId="52" xfId="2" applyFont="1" applyFill="1" applyBorder="1" applyAlignment="1">
      <alignment horizontal="center" vertical="center" wrapText="1"/>
    </xf>
    <xf numFmtId="0" fontId="0" fillId="14" borderId="34" xfId="2" applyFont="1" applyFill="1" applyBorder="1" applyAlignment="1">
      <alignment horizontal="center" vertical="center" wrapText="1"/>
    </xf>
    <xf numFmtId="0" fontId="0" fillId="0" borderId="57" xfId="0" applyFont="1" applyBorder="1" applyAlignment="1">
      <alignment horizontal="center" vertical="center" wrapText="1"/>
    </xf>
    <xf numFmtId="0" fontId="48" fillId="0" borderId="57" xfId="0" applyFont="1" applyBorder="1" applyAlignment="1">
      <alignment horizontal="center" vertical="center" wrapText="1"/>
    </xf>
    <xf numFmtId="49" fontId="0" fillId="0" borderId="57" xfId="2" applyNumberFormat="1" applyFont="1" applyBorder="1" applyAlignment="1">
      <alignment horizontal="center" vertical="center" wrapText="1"/>
    </xf>
    <xf numFmtId="49" fontId="0" fillId="0" borderId="52" xfId="2" applyNumberFormat="1" applyFont="1" applyBorder="1" applyAlignment="1">
      <alignment horizontal="center" vertical="center" wrapText="1"/>
    </xf>
    <xf numFmtId="49" fontId="0" fillId="0" borderId="34" xfId="2" applyNumberFormat="1" applyFont="1" applyBorder="1" applyAlignment="1">
      <alignment horizontal="center" vertical="center" wrapText="1"/>
    </xf>
    <xf numFmtId="0" fontId="59" fillId="0" borderId="0" xfId="0" applyFont="1" applyAlignment="1">
      <alignment horizontal="center" wrapText="1"/>
    </xf>
    <xf numFmtId="0" fontId="60" fillId="0" borderId="41" xfId="0" applyFont="1" applyBorder="1" applyAlignment="1">
      <alignment horizontal="center" wrapText="1"/>
    </xf>
    <xf numFmtId="0" fontId="60" fillId="0" borderId="0" xfId="0" applyFont="1" applyAlignment="1">
      <alignment horizontal="right" wrapText="1"/>
    </xf>
    <xf numFmtId="0" fontId="60" fillId="0" borderId="0" xfId="0" applyFont="1"/>
    <xf numFmtId="0" fontId="61" fillId="0" borderId="37" xfId="0" applyFont="1" applyBorder="1" applyAlignment="1">
      <alignment horizontal="center" vertical="center" wrapText="1"/>
    </xf>
    <xf numFmtId="0" fontId="62" fillId="0" borderId="35" xfId="0" applyFont="1" applyBorder="1" applyAlignment="1">
      <alignment horizontal="center" wrapText="1"/>
    </xf>
    <xf numFmtId="0" fontId="62" fillId="0" borderId="36" xfId="0" applyFont="1" applyBorder="1" applyAlignment="1">
      <alignment horizontal="center" wrapText="1"/>
    </xf>
    <xf numFmtId="0" fontId="62" fillId="0" borderId="37" xfId="0" applyFont="1" applyBorder="1" applyAlignment="1">
      <alignment horizontal="center" wrapText="1"/>
    </xf>
    <xf numFmtId="0" fontId="61" fillId="0" borderId="40" xfId="0" applyFont="1" applyBorder="1" applyAlignment="1">
      <alignment horizontal="center" vertical="center" wrapText="1"/>
    </xf>
    <xf numFmtId="0" fontId="62" fillId="0" borderId="38" xfId="0" applyFont="1" applyBorder="1" applyAlignment="1">
      <alignment horizontal="center" wrapText="1"/>
    </xf>
    <xf numFmtId="0" fontId="62" fillId="0" borderId="39" xfId="0" applyFont="1" applyBorder="1" applyAlignment="1">
      <alignment horizontal="center" wrapText="1"/>
    </xf>
    <xf numFmtId="0" fontId="62" fillId="0" borderId="40" xfId="0" applyFont="1" applyBorder="1" applyAlignment="1">
      <alignment horizontal="center" wrapText="1"/>
    </xf>
    <xf numFmtId="0" fontId="63" fillId="0" borderId="0" xfId="0" applyFont="1" applyAlignment="1">
      <alignment vertical="center"/>
    </xf>
    <xf numFmtId="0" fontId="63" fillId="0" borderId="0" xfId="0" applyFont="1"/>
    <xf numFmtId="0" fontId="63" fillId="0" borderId="0" xfId="0" applyFont="1" applyAlignment="1">
      <alignment horizontal="right" indent="1"/>
    </xf>
    <xf numFmtId="0" fontId="64" fillId="0" borderId="0" xfId="0" applyFont="1"/>
    <xf numFmtId="0" fontId="63" fillId="0" borderId="0" xfId="0" applyFont="1" applyAlignment="1">
      <alignment horizontal="right"/>
    </xf>
  </cellXfs>
  <cellStyles count="4">
    <cellStyle name="Excel Built-in Normal" xfId="2"/>
    <cellStyle name="Hiperpovezava" xfId="1" builtinId="8"/>
    <cellStyle name="Navadno" xfId="0" builtinId="0"/>
    <cellStyle name="Normal 2" xfId="3"/>
  </cellStyles>
  <dxfs count="53">
    <dxf>
      <font>
        <condense val="0"/>
        <extend val="0"/>
        <color indexed="9"/>
      </font>
      <fill>
        <patternFill>
          <bgColor indexed="10"/>
        </patternFill>
      </fill>
    </dxf>
    <dxf>
      <fill>
        <patternFill>
          <bgColor indexed="13"/>
        </patternFill>
      </fill>
    </dxf>
    <dxf>
      <fill>
        <patternFill>
          <bgColor indexed="11"/>
        </patternFill>
      </fill>
    </dxf>
    <dxf>
      <font>
        <b/>
        <i val="0"/>
        <condense val="0"/>
        <extend val="0"/>
        <color indexed="9"/>
      </font>
      <fill>
        <patternFill>
          <bgColor indexed="8"/>
        </patternFill>
      </fill>
    </dxf>
    <dxf>
      <font>
        <b val="0"/>
        <i val="0"/>
        <strike val="0"/>
        <condense val="0"/>
        <extend val="0"/>
        <color indexed="9"/>
      </font>
      <fill>
        <patternFill patternType="solid">
          <bgColor indexed="9"/>
        </patternFill>
      </fill>
    </dxf>
    <dxf>
      <font>
        <b/>
        <i val="0"/>
        <strike val="0"/>
        <condense val="0"/>
        <extend val="0"/>
        <color indexed="9"/>
      </font>
      <fill>
        <patternFill>
          <bgColor indexed="8"/>
        </patternFill>
      </fill>
    </dxf>
    <dxf>
      <font>
        <strike val="0"/>
        <condense val="0"/>
        <extend val="0"/>
        <color indexed="9"/>
      </font>
      <fill>
        <patternFill>
          <bgColor indexed="10"/>
        </patternFill>
      </fill>
    </dxf>
    <dxf>
      <fill>
        <patternFill>
          <bgColor indexed="13"/>
        </patternFill>
      </fill>
    </dxf>
    <dxf>
      <fill>
        <patternFill>
          <bgColor indexed="11"/>
        </patternFill>
      </fill>
    </dxf>
    <dxf>
      <font>
        <b/>
        <i val="0"/>
        <strike val="0"/>
        <condense val="0"/>
        <extend val="0"/>
        <color indexed="9"/>
      </font>
      <fill>
        <patternFill>
          <bgColor indexed="10"/>
        </patternFill>
      </fill>
    </dxf>
    <dxf>
      <font>
        <b/>
        <i val="0"/>
        <condense val="0"/>
        <extend val="0"/>
        <color indexed="8"/>
      </font>
      <fill>
        <patternFill>
          <bgColor indexed="11"/>
        </patternFill>
      </fill>
    </dxf>
    <dxf>
      <font>
        <b/>
        <i val="0"/>
        <condense val="0"/>
        <extend val="0"/>
        <color indexed="8"/>
      </font>
      <fill>
        <patternFill>
          <bgColor indexed="13"/>
        </patternFill>
      </fill>
    </dxf>
    <dxf>
      <font>
        <b/>
        <i val="0"/>
        <strike val="0"/>
        <condense val="0"/>
        <extend val="0"/>
        <color indexed="9"/>
      </font>
      <fill>
        <patternFill>
          <bgColor indexed="10"/>
        </patternFill>
      </fill>
    </dxf>
    <dxf>
      <fill>
        <patternFill>
          <bgColor indexed="10"/>
        </patternFill>
      </fill>
    </dxf>
    <dxf>
      <fill>
        <patternFill>
          <bgColor indexed="13"/>
        </patternFill>
      </fill>
    </dxf>
    <dxf>
      <font>
        <b/>
        <i val="0"/>
        <strike val="0"/>
        <condense val="0"/>
        <extend val="0"/>
        <color indexed="8"/>
      </font>
      <fill>
        <patternFill>
          <bgColor indexed="11"/>
        </patternFill>
      </fill>
    </dxf>
    <dxf>
      <font>
        <b/>
        <i val="0"/>
        <strike val="0"/>
        <condense val="0"/>
        <extend val="0"/>
        <color indexed="8"/>
      </font>
      <fill>
        <patternFill>
          <bgColor indexed="13"/>
        </patternFill>
      </fill>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
      <font>
        <b/>
        <i val="0"/>
        <condense val="0"/>
        <extend val="0"/>
        <color indexed="9"/>
      </font>
      <fill>
        <patternFill patternType="solid">
          <fgColor indexed="16"/>
          <bgColor indexed="10"/>
        </patternFill>
      </fill>
      <border>
        <left style="thin">
          <color indexed="8"/>
        </left>
        <right style="thin">
          <color indexed="8"/>
        </right>
        <top style="thin">
          <color indexed="8"/>
        </top>
        <bottom style="thin">
          <color indexed="8"/>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sl-SI"/>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000000"/>
                </a:solidFill>
                <a:latin typeface="Arial"/>
                <a:ea typeface="Arial"/>
                <a:cs typeface="Arial"/>
              </a:defRPr>
            </a:pPr>
            <a:r>
              <a:rPr lang="en-GB"/>
              <a:t>RPN values</a:t>
            </a:r>
          </a:p>
        </c:rich>
      </c:tx>
      <c:layout>
        <c:manualLayout>
          <c:xMode val="edge"/>
          <c:yMode val="edge"/>
          <c:x val="0.44532824053056985"/>
          <c:y val="1.4245014245014245E-2"/>
        </c:manualLayout>
      </c:layout>
      <c:overlay val="0"/>
      <c:spPr>
        <a:noFill/>
        <a:ln w="25400">
          <a:noFill/>
        </a:ln>
      </c:spPr>
    </c:title>
    <c:autoTitleDeleted val="0"/>
    <c:plotArea>
      <c:layout>
        <c:manualLayout>
          <c:layoutTarget val="inner"/>
          <c:xMode val="edge"/>
          <c:yMode val="edge"/>
          <c:x val="4.5725668317083981E-2"/>
          <c:y val="0.10826240947296083"/>
          <c:w val="0.94930463571337387"/>
          <c:h val="0.74359181243270467"/>
        </c:manualLayout>
      </c:layout>
      <c:barChart>
        <c:barDir val="col"/>
        <c:grouping val="clustered"/>
        <c:varyColors val="0"/>
        <c:ser>
          <c:idx val="0"/>
          <c:order val="0"/>
          <c:tx>
            <c:strRef>
              <c:f>Histogram!$AC$4</c:f>
              <c:strCache>
                <c:ptCount val="1"/>
                <c:pt idx="0">
                  <c:v>At analysis</c:v>
                </c:pt>
              </c:strCache>
            </c:strRef>
          </c:tx>
          <c:spPr>
            <a:solidFill>
              <a:srgbClr val="FF0000"/>
            </a:solidFill>
            <a:ln w="12700">
              <a:solidFill>
                <a:srgbClr val="000000"/>
              </a:solidFill>
              <a:prstDash val="solid"/>
            </a:ln>
          </c:spPr>
          <c:invertIfNegative val="0"/>
          <c:cat>
            <c:strRef>
              <c:f>Histogram!$AD$3:$AJ$3</c:f>
              <c:strCache>
                <c:ptCount val="7"/>
                <c:pt idx="0">
                  <c:v>0-36</c:v>
                </c:pt>
                <c:pt idx="1">
                  <c:v>37-64</c:v>
                </c:pt>
                <c:pt idx="2">
                  <c:v>65-125</c:v>
                </c:pt>
                <c:pt idx="3">
                  <c:v>126-250</c:v>
                </c:pt>
                <c:pt idx="4">
                  <c:v>251-500</c:v>
                </c:pt>
                <c:pt idx="5">
                  <c:v>501-750</c:v>
                </c:pt>
                <c:pt idx="6">
                  <c:v>751-1000</c:v>
                </c:pt>
              </c:strCache>
            </c:strRef>
          </c:cat>
          <c:val>
            <c:numRef>
              <c:f>Histogram!$AD$4:$AJ$4</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CFD1-4529-BA27-BBE1864879F3}"/>
            </c:ext>
          </c:extLst>
        </c:ser>
        <c:ser>
          <c:idx val="1"/>
          <c:order val="1"/>
          <c:tx>
            <c:strRef>
              <c:f>Histogram!$AC$5</c:f>
              <c:strCache>
                <c:ptCount val="1"/>
                <c:pt idx="0">
                  <c:v>After actions</c:v>
                </c:pt>
              </c:strCache>
            </c:strRef>
          </c:tx>
          <c:spPr>
            <a:pattFill prst="pct70">
              <a:fgClr>
                <a:srgbClr xmlns:mc="http://schemas.openxmlformats.org/markup-compatibility/2006" xmlns:a14="http://schemas.microsoft.com/office/drawing/2010/main" val="FF0000" mc:Ignorable="a14" a14:legacySpreadsheetColorIndex="10"/>
              </a:fgClr>
              <a:bgClr>
                <a:srgbClr xmlns:mc="http://schemas.openxmlformats.org/markup-compatibility/2006" xmlns:a14="http://schemas.microsoft.com/office/drawing/2010/main" val="FFFFFF" mc:Ignorable="a14" a14:legacySpreadsheetColorIndex="9"/>
              </a:bgClr>
            </a:pattFill>
            <a:ln w="12700">
              <a:solidFill>
                <a:srgbClr val="000000"/>
              </a:solidFill>
              <a:prstDash val="solid"/>
            </a:ln>
          </c:spPr>
          <c:invertIfNegative val="0"/>
          <c:cat>
            <c:strRef>
              <c:f>Histogram!$AD$3:$AJ$3</c:f>
              <c:strCache>
                <c:ptCount val="7"/>
                <c:pt idx="0">
                  <c:v>0-36</c:v>
                </c:pt>
                <c:pt idx="1">
                  <c:v>37-64</c:v>
                </c:pt>
                <c:pt idx="2">
                  <c:v>65-125</c:v>
                </c:pt>
                <c:pt idx="3">
                  <c:v>126-250</c:v>
                </c:pt>
                <c:pt idx="4">
                  <c:v>251-500</c:v>
                </c:pt>
                <c:pt idx="5">
                  <c:v>501-750</c:v>
                </c:pt>
                <c:pt idx="6">
                  <c:v>751-1000</c:v>
                </c:pt>
              </c:strCache>
            </c:strRef>
          </c:cat>
          <c:val>
            <c:numRef>
              <c:f>Histogram!$AD$5:$AJ$5</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1-CFD1-4529-BA27-BBE1864879F3}"/>
            </c:ext>
          </c:extLst>
        </c:ser>
        <c:dLbls>
          <c:showLegendKey val="0"/>
          <c:showVal val="0"/>
          <c:showCatName val="0"/>
          <c:showSerName val="0"/>
          <c:showPercent val="0"/>
          <c:showBubbleSize val="0"/>
        </c:dLbls>
        <c:gapWidth val="100"/>
        <c:axId val="226274024"/>
        <c:axId val="1"/>
      </c:barChart>
      <c:catAx>
        <c:axId val="226274024"/>
        <c:scaling>
          <c:orientation val="minMax"/>
        </c:scaling>
        <c:delete val="0"/>
        <c:axPos val="b"/>
        <c:title>
          <c:tx>
            <c:rich>
              <a:bodyPr/>
              <a:lstStyle/>
              <a:p>
                <a:pPr>
                  <a:defRPr sz="1000" b="1" i="0" u="none" strike="noStrike" baseline="0">
                    <a:solidFill>
                      <a:srgbClr val="000000"/>
                    </a:solidFill>
                    <a:latin typeface="Arial"/>
                    <a:ea typeface="Arial"/>
                    <a:cs typeface="Arial"/>
                  </a:defRPr>
                </a:pPr>
                <a:r>
                  <a:rPr lang="en-GB"/>
                  <a:t>Range</a:t>
                </a:r>
              </a:p>
            </c:rich>
          </c:tx>
          <c:layout>
            <c:manualLayout>
              <c:xMode val="edge"/>
              <c:yMode val="edge"/>
              <c:x val="0.49801213715084819"/>
              <c:y val="0.92307961504811897"/>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sl-SI"/>
          </a:p>
        </c:txPr>
        <c:crossAx val="1"/>
        <c:crosses val="autoZero"/>
        <c:auto val="0"/>
        <c:lblAlgn val="ctr"/>
        <c:lblOffset val="100"/>
        <c:tickLblSkip val="1"/>
        <c:tickMarkSkip val="1"/>
        <c:noMultiLvlLbl val="0"/>
      </c:catAx>
      <c:valAx>
        <c:axId val="1"/>
        <c:scaling>
          <c:orientation val="minMax"/>
        </c:scaling>
        <c:delete val="0"/>
        <c:axPos val="l"/>
        <c:majorGridlines>
          <c:spPr>
            <a:ln w="3175">
              <a:solidFill>
                <a:srgbClr val="000000"/>
              </a:solidFill>
              <a:prstDash val="solid"/>
            </a:ln>
          </c:spPr>
        </c:majorGridlines>
        <c:title>
          <c:tx>
            <c:rich>
              <a:bodyPr/>
              <a:lstStyle/>
              <a:p>
                <a:pPr>
                  <a:defRPr sz="1150" b="1" i="0" u="none" strike="noStrike" baseline="0">
                    <a:solidFill>
                      <a:srgbClr val="000000"/>
                    </a:solidFill>
                    <a:latin typeface="Arial"/>
                    <a:ea typeface="Arial"/>
                    <a:cs typeface="Arial"/>
                  </a:defRPr>
                </a:pPr>
                <a:r>
                  <a:rPr lang="en-GB"/>
                  <a:t>Quantity</a:t>
                </a:r>
              </a:p>
            </c:rich>
          </c:tx>
          <c:layout>
            <c:manualLayout>
              <c:xMode val="edge"/>
              <c:yMode val="edge"/>
              <c:x val="1.2922465208747515E-2"/>
              <c:y val="0.40740860383905003"/>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sl-SI"/>
          </a:p>
        </c:txPr>
        <c:crossAx val="226274024"/>
        <c:crosses val="autoZero"/>
        <c:crossBetween val="between"/>
        <c:minorUnit val="0.1"/>
      </c:valAx>
      <c:spPr>
        <a:solidFill>
          <a:srgbClr val="FFFFFF"/>
        </a:solidFill>
        <a:ln w="3175">
          <a:solidFill>
            <a:srgbClr val="000000"/>
          </a:solidFill>
          <a:prstDash val="solid"/>
        </a:ln>
      </c:spPr>
    </c:plotArea>
    <c:legend>
      <c:legendPos val="r"/>
      <c:layout>
        <c:manualLayout>
          <c:xMode val="edge"/>
          <c:yMode val="edge"/>
          <c:x val="5.6660039761431413E-2"/>
          <c:y val="0.94302263499113892"/>
          <c:w val="0.19483111827721333"/>
          <c:h val="4.8433048433048409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sl-SI"/>
        </a:p>
      </c:txPr>
    </c:legend>
    <c:plotVisOnly val="1"/>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sl-SI"/>
    </a:p>
  </c:txPr>
  <c:printSettings>
    <c:headerFooter alignWithMargins="0"/>
    <c:pageMargins b="1" l="0.75" r="0.75" t="1" header="0.5" footer="0.5"/>
    <c:pageSetup paperSize="9" orientation="landscape" verticalDpi="0"/>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1"/>
  <c:lang val="sl-SI"/>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500" b="1" i="0" u="none" strike="noStrike" baseline="0">
                <a:solidFill>
                  <a:srgbClr val="000000"/>
                </a:solidFill>
                <a:latin typeface="Arial"/>
                <a:ea typeface="Arial"/>
                <a:cs typeface="Arial"/>
              </a:defRPr>
            </a:pPr>
            <a:r>
              <a:rPr lang="en-GB"/>
              <a:t>Severity values</a:t>
            </a:r>
          </a:p>
        </c:rich>
      </c:tx>
      <c:layout>
        <c:manualLayout>
          <c:xMode val="edge"/>
          <c:yMode val="edge"/>
          <c:x val="0.37574573556039093"/>
          <c:y val="3.1941031941031942E-2"/>
        </c:manualLayout>
      </c:layout>
      <c:overlay val="0"/>
      <c:spPr>
        <a:noFill/>
        <a:ln w="25400">
          <a:noFill/>
        </a:ln>
      </c:spPr>
    </c:title>
    <c:autoTitleDeleted val="0"/>
    <c:plotArea>
      <c:layout>
        <c:manualLayout>
          <c:layoutTarget val="inner"/>
          <c:xMode val="edge"/>
          <c:yMode val="edge"/>
          <c:x val="0.13121278734467576"/>
          <c:y val="0.21375921375921375"/>
          <c:w val="0.83300239238513862"/>
          <c:h val="0.51351351351351349"/>
        </c:manualLayout>
      </c:layout>
      <c:barChart>
        <c:barDir val="bar"/>
        <c:grouping val="clustered"/>
        <c:varyColors val="0"/>
        <c:ser>
          <c:idx val="0"/>
          <c:order val="0"/>
          <c:tx>
            <c:strRef>
              <c:f>Histogram!$AC$8</c:f>
              <c:strCache>
                <c:ptCount val="1"/>
                <c:pt idx="0">
                  <c:v>At analysis</c:v>
                </c:pt>
              </c:strCache>
            </c:strRef>
          </c:tx>
          <c:spPr>
            <a:solidFill>
              <a:srgbClr val="FF0000"/>
            </a:solidFill>
            <a:ln w="12700">
              <a:solidFill>
                <a:srgbClr val="000000"/>
              </a:solidFill>
              <a:prstDash val="solid"/>
            </a:ln>
          </c:spPr>
          <c:invertIfNegative val="0"/>
          <c:cat>
            <c:strRef>
              <c:f>Histogram!$AD$7:$AF$7</c:f>
              <c:strCache>
                <c:ptCount val="3"/>
                <c:pt idx="0">
                  <c:v>0-3</c:v>
                </c:pt>
                <c:pt idx="1">
                  <c:v>4-6</c:v>
                </c:pt>
                <c:pt idx="2">
                  <c:v>7-10</c:v>
                </c:pt>
              </c:strCache>
            </c:strRef>
          </c:cat>
          <c:val>
            <c:numRef>
              <c:f>Histogram!$AD$8:$AF$8</c:f>
              <c:numCache>
                <c:formatCode>General</c:formatCode>
                <c:ptCount val="3"/>
                <c:pt idx="0">
                  <c:v>0</c:v>
                </c:pt>
                <c:pt idx="1">
                  <c:v>0</c:v>
                </c:pt>
                <c:pt idx="2">
                  <c:v>0</c:v>
                </c:pt>
              </c:numCache>
            </c:numRef>
          </c:val>
          <c:extLst>
            <c:ext xmlns:c16="http://schemas.microsoft.com/office/drawing/2014/chart" uri="{C3380CC4-5D6E-409C-BE32-E72D297353CC}">
              <c16:uniqueId val="{00000000-FB25-482C-8896-5C213AB3D16F}"/>
            </c:ext>
          </c:extLst>
        </c:ser>
        <c:ser>
          <c:idx val="1"/>
          <c:order val="1"/>
          <c:tx>
            <c:strRef>
              <c:f>Histogram!$AC$9</c:f>
              <c:strCache>
                <c:ptCount val="1"/>
                <c:pt idx="0">
                  <c:v>After actions</c:v>
                </c:pt>
              </c:strCache>
            </c:strRef>
          </c:tx>
          <c:spPr>
            <a:pattFill prst="pct70">
              <a:fgClr>
                <a:srgbClr xmlns:mc="http://schemas.openxmlformats.org/markup-compatibility/2006" xmlns:a14="http://schemas.microsoft.com/office/drawing/2010/main" val="FF0000" mc:Ignorable="a14" a14:legacySpreadsheetColorIndex="10"/>
              </a:fgClr>
              <a:bgClr>
                <a:srgbClr xmlns:mc="http://schemas.openxmlformats.org/markup-compatibility/2006" xmlns:a14="http://schemas.microsoft.com/office/drawing/2010/main" val="FFFFFF" mc:Ignorable="a14" a14:legacySpreadsheetColorIndex="9"/>
              </a:bgClr>
            </a:pattFill>
            <a:ln w="12700">
              <a:solidFill>
                <a:srgbClr val="000000"/>
              </a:solidFill>
              <a:prstDash val="solid"/>
            </a:ln>
          </c:spPr>
          <c:invertIfNegative val="0"/>
          <c:cat>
            <c:strRef>
              <c:f>Histogram!$AD$7:$AF$7</c:f>
              <c:strCache>
                <c:ptCount val="3"/>
                <c:pt idx="0">
                  <c:v>0-3</c:v>
                </c:pt>
                <c:pt idx="1">
                  <c:v>4-6</c:v>
                </c:pt>
                <c:pt idx="2">
                  <c:v>7-10</c:v>
                </c:pt>
              </c:strCache>
            </c:strRef>
          </c:cat>
          <c:val>
            <c:numRef>
              <c:f>Histogram!$AD$9:$AF$9</c:f>
              <c:numCache>
                <c:formatCode>General</c:formatCode>
                <c:ptCount val="3"/>
                <c:pt idx="0">
                  <c:v>0</c:v>
                </c:pt>
                <c:pt idx="1">
                  <c:v>0</c:v>
                </c:pt>
                <c:pt idx="2">
                  <c:v>0</c:v>
                </c:pt>
              </c:numCache>
            </c:numRef>
          </c:val>
          <c:extLst>
            <c:ext xmlns:c16="http://schemas.microsoft.com/office/drawing/2014/chart" uri="{C3380CC4-5D6E-409C-BE32-E72D297353CC}">
              <c16:uniqueId val="{00000001-FB25-482C-8896-5C213AB3D16F}"/>
            </c:ext>
          </c:extLst>
        </c:ser>
        <c:dLbls>
          <c:showLegendKey val="0"/>
          <c:showVal val="0"/>
          <c:showCatName val="0"/>
          <c:showSerName val="0"/>
          <c:showPercent val="0"/>
          <c:showBubbleSize val="0"/>
        </c:dLbls>
        <c:gapWidth val="150"/>
        <c:axId val="226270416"/>
        <c:axId val="1"/>
      </c:barChart>
      <c:catAx>
        <c:axId val="226270416"/>
        <c:scaling>
          <c:orientation val="minMax"/>
        </c:scaling>
        <c:delete val="0"/>
        <c:axPos val="l"/>
        <c:title>
          <c:tx>
            <c:rich>
              <a:bodyPr/>
              <a:lstStyle/>
              <a:p>
                <a:pPr>
                  <a:defRPr sz="1675" b="1" i="0" u="none" strike="noStrike" baseline="0">
                    <a:solidFill>
                      <a:srgbClr val="000000"/>
                    </a:solidFill>
                    <a:latin typeface="Arial"/>
                    <a:ea typeface="Arial"/>
                    <a:cs typeface="Arial"/>
                  </a:defRPr>
                </a:pPr>
                <a:r>
                  <a:rPr lang="en-GB"/>
                  <a:t>Range</a:t>
                </a:r>
              </a:p>
            </c:rich>
          </c:tx>
          <c:layout>
            <c:manualLayout>
              <c:xMode val="edge"/>
              <c:yMode val="edge"/>
              <c:x val="1.0934393638170975E-2"/>
              <c:y val="0.3808353808353808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2075" b="0" i="0" u="none" strike="noStrike" baseline="0">
                <a:solidFill>
                  <a:srgbClr val="000000"/>
                </a:solidFill>
                <a:latin typeface="Arial"/>
                <a:ea typeface="Arial"/>
                <a:cs typeface="Arial"/>
              </a:defRPr>
            </a:pPr>
            <a:endParaRPr lang="sl-SI"/>
          </a:p>
        </c:txPr>
        <c:crossAx val="1"/>
        <c:crosses val="autoZero"/>
        <c:auto val="1"/>
        <c:lblAlgn val="ctr"/>
        <c:lblOffset val="100"/>
        <c:tickLblSkip val="1"/>
        <c:tickMarkSkip val="1"/>
        <c:noMultiLvlLbl val="0"/>
      </c:catAx>
      <c:valAx>
        <c:axId val="1"/>
        <c:scaling>
          <c:orientation val="minMax"/>
        </c:scaling>
        <c:delete val="0"/>
        <c:axPos val="b"/>
        <c:majorGridlines>
          <c:spPr>
            <a:ln w="3175">
              <a:solidFill>
                <a:srgbClr val="000000"/>
              </a:solidFill>
              <a:prstDash val="solid"/>
            </a:ln>
          </c:spPr>
        </c:majorGridlines>
        <c:title>
          <c:tx>
            <c:rich>
              <a:bodyPr/>
              <a:lstStyle/>
              <a:p>
                <a:pPr>
                  <a:defRPr sz="1675" b="1" i="0" u="none" strike="noStrike" baseline="0">
                    <a:solidFill>
                      <a:srgbClr val="000000"/>
                    </a:solidFill>
                    <a:latin typeface="Arial"/>
                    <a:ea typeface="Arial"/>
                    <a:cs typeface="Arial"/>
                  </a:defRPr>
                </a:pPr>
                <a:r>
                  <a:rPr lang="en-GB"/>
                  <a:t>Quantity</a:t>
                </a:r>
              </a:p>
            </c:rich>
          </c:tx>
          <c:layout>
            <c:manualLayout>
              <c:xMode val="edge"/>
              <c:yMode val="edge"/>
              <c:x val="0.50298231607728949"/>
              <c:y val="0.88697788697788693"/>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2075" b="0" i="0" u="none" strike="noStrike" baseline="0">
                <a:solidFill>
                  <a:srgbClr val="000000"/>
                </a:solidFill>
                <a:latin typeface="Arial"/>
                <a:ea typeface="Arial"/>
                <a:cs typeface="Arial"/>
              </a:defRPr>
            </a:pPr>
            <a:endParaRPr lang="sl-SI"/>
          </a:p>
        </c:txPr>
        <c:crossAx val="226270416"/>
        <c:crosses val="autoZero"/>
        <c:crossBetween val="between"/>
      </c:valAx>
      <c:spPr>
        <a:solidFill>
          <a:srgbClr val="FFFFFF"/>
        </a:solidFill>
        <a:ln w="3175">
          <a:solidFill>
            <a:srgbClr val="000000"/>
          </a:solidFill>
          <a:prstDash val="solid"/>
        </a:ln>
      </c:spPr>
    </c:plotArea>
    <c:legend>
      <c:legendPos val="r"/>
      <c:layout>
        <c:manualLayout>
          <c:xMode val="edge"/>
          <c:yMode val="edge"/>
          <c:x val="0.11431421966886346"/>
          <c:y val="0.92383292383292381"/>
          <c:w val="0.15109354372452943"/>
          <c:h val="4.9140049140049102E-2"/>
        </c:manualLayout>
      </c:layout>
      <c:overlay val="0"/>
      <c:spPr>
        <a:solidFill>
          <a:srgbClr val="FFFFFF"/>
        </a:solidFill>
        <a:ln w="25400">
          <a:noFill/>
        </a:ln>
      </c:spPr>
      <c:txPr>
        <a:bodyPr/>
        <a:lstStyle/>
        <a:p>
          <a:pPr>
            <a:defRPr sz="735" b="0" i="0" u="none" strike="noStrike" baseline="0">
              <a:solidFill>
                <a:srgbClr val="000000"/>
              </a:solidFill>
              <a:latin typeface="Arial"/>
              <a:ea typeface="Arial"/>
              <a:cs typeface="Arial"/>
            </a:defRPr>
          </a:pPr>
          <a:endParaRPr lang="sl-SI"/>
        </a:p>
      </c:txPr>
    </c:legend>
    <c:plotVisOnly val="1"/>
    <c:dispBlanksAs val="gap"/>
    <c:showDLblsOverMax val="0"/>
  </c:chart>
  <c:spPr>
    <a:solidFill>
      <a:srgbClr val="FFFFFF"/>
    </a:solidFill>
    <a:ln w="3175">
      <a:solidFill>
        <a:srgbClr val="000000"/>
      </a:solidFill>
      <a:prstDash val="solid"/>
    </a:ln>
  </c:spPr>
  <c:txPr>
    <a:bodyPr/>
    <a:lstStyle/>
    <a:p>
      <a:pPr>
        <a:defRPr sz="2075" b="0" i="0" u="none" strike="noStrike" baseline="0">
          <a:solidFill>
            <a:srgbClr val="000000"/>
          </a:solidFill>
          <a:latin typeface="Arial"/>
          <a:ea typeface="Arial"/>
          <a:cs typeface="Arial"/>
        </a:defRPr>
      </a:pPr>
      <a:endParaRPr lang="sl-SI"/>
    </a:p>
  </c:txPr>
  <c:printSettings>
    <c:headerFooter alignWithMargins="0"/>
    <c:pageMargins b="1" l="0.75" r="0.75" t="1" header="0.5" footer="0.5"/>
    <c:pageSetup/>
  </c:printSettings>
  <c:userShapes r:id="rId1"/>
</c:chartSpace>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Button" lockText="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Button" lockText="1"/>
</file>

<file path=xl/ctrlProps/ctrlProp16.xml><?xml version="1.0" encoding="utf-8"?>
<formControlPr xmlns="http://schemas.microsoft.com/office/spreadsheetml/2009/9/main" objectType="CheckBox"/>
</file>

<file path=xl/ctrlProps/ctrlProp17.xml><?xml version="1.0" encoding="utf-8"?>
<formControlPr xmlns="http://schemas.microsoft.com/office/spreadsheetml/2009/9/main" objectType="CheckBox" checked="Checked"/>
</file>

<file path=xl/ctrlProps/ctrlProp18.xml><?xml version="1.0" encoding="utf-8"?>
<formControlPr xmlns="http://schemas.microsoft.com/office/spreadsheetml/2009/9/main" objectType="CheckBox"/>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1685925</xdr:colOff>
      <xdr:row>5</xdr:row>
      <xdr:rowOff>142875</xdr:rowOff>
    </xdr:from>
    <xdr:to>
      <xdr:col>3</xdr:col>
      <xdr:colOff>1457325</xdr:colOff>
      <xdr:row>8</xdr:row>
      <xdr:rowOff>76200</xdr:rowOff>
    </xdr:to>
    <xdr:sp macro="" textlink="">
      <xdr:nvSpPr>
        <xdr:cNvPr id="11277" name="Rectangle 13">
          <a:extLst>
            <a:ext uri="{FF2B5EF4-FFF2-40B4-BE49-F238E27FC236}">
              <a16:creationId xmlns:a16="http://schemas.microsoft.com/office/drawing/2014/main" id="{00000000-0008-0000-0100-00000D2C0000}"/>
            </a:ext>
          </a:extLst>
        </xdr:cNvPr>
        <xdr:cNvSpPr>
          <a:spLocks noChangeArrowheads="1"/>
        </xdr:cNvSpPr>
      </xdr:nvSpPr>
      <xdr:spPr bwMode="auto">
        <a:xfrm>
          <a:off x="3724275" y="1047750"/>
          <a:ext cx="1790700" cy="419100"/>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Purchase / sale department</a:t>
          </a:r>
        </a:p>
      </xdr:txBody>
    </xdr:sp>
    <xdr:clientData/>
  </xdr:twoCellAnchor>
  <xdr:twoCellAnchor>
    <xdr:from>
      <xdr:col>1</xdr:col>
      <xdr:colOff>733425</xdr:colOff>
      <xdr:row>10</xdr:row>
      <xdr:rowOff>9525</xdr:rowOff>
    </xdr:from>
    <xdr:to>
      <xdr:col>2</xdr:col>
      <xdr:colOff>1285875</xdr:colOff>
      <xdr:row>14</xdr:row>
      <xdr:rowOff>152400</xdr:rowOff>
    </xdr:to>
    <xdr:sp macro="" textlink="">
      <xdr:nvSpPr>
        <xdr:cNvPr id="11265" name="AutoShape 1">
          <a:extLst>
            <a:ext uri="{FF2B5EF4-FFF2-40B4-BE49-F238E27FC236}">
              <a16:creationId xmlns:a16="http://schemas.microsoft.com/office/drawing/2014/main" id="{00000000-0008-0000-0100-0000012C0000}"/>
            </a:ext>
          </a:extLst>
        </xdr:cNvPr>
        <xdr:cNvSpPr>
          <a:spLocks noChangeArrowheads="1"/>
        </xdr:cNvSpPr>
      </xdr:nvSpPr>
      <xdr:spPr bwMode="auto">
        <a:xfrm>
          <a:off x="1914525" y="1724025"/>
          <a:ext cx="1409700" cy="790575"/>
        </a:xfrm>
        <a:prstGeom prst="diamond">
          <a:avLst/>
        </a:prstGeom>
        <a:solidFill>
          <a:srgbClr val="99FFCC"/>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Input</a:t>
          </a:r>
          <a:r>
            <a:rPr lang="sl-SI" sz="1200" b="1" i="0" u="none" strike="noStrike" baseline="0">
              <a:solidFill>
                <a:srgbClr val="000000"/>
              </a:solidFill>
              <a:latin typeface="Times New Roman"/>
              <a:cs typeface="Times New Roman"/>
            </a:rPr>
            <a:t> </a:t>
          </a:r>
          <a:r>
            <a:rPr lang="sl-SI" sz="1200" b="0" i="0" u="none" strike="noStrike" baseline="0">
              <a:solidFill>
                <a:srgbClr val="000000"/>
              </a:solidFill>
              <a:latin typeface="Times New Roman"/>
              <a:cs typeface="Times New Roman"/>
            </a:rPr>
            <a:t>inspection</a:t>
          </a:r>
        </a:p>
      </xdr:txBody>
    </xdr:sp>
    <xdr:clientData/>
  </xdr:twoCellAnchor>
  <xdr:twoCellAnchor>
    <xdr:from>
      <xdr:col>0</xdr:col>
      <xdr:colOff>455543</xdr:colOff>
      <xdr:row>17</xdr:row>
      <xdr:rowOff>85310</xdr:rowOff>
    </xdr:from>
    <xdr:to>
      <xdr:col>2</xdr:col>
      <xdr:colOff>418686</xdr:colOff>
      <xdr:row>18</xdr:row>
      <xdr:rowOff>57978</xdr:rowOff>
    </xdr:to>
    <xdr:sp macro="" textlink="">
      <xdr:nvSpPr>
        <xdr:cNvPr id="11271" name="AutoShape 7">
          <a:extLst>
            <a:ext uri="{FF2B5EF4-FFF2-40B4-BE49-F238E27FC236}">
              <a16:creationId xmlns:a16="http://schemas.microsoft.com/office/drawing/2014/main" id="{00000000-0008-0000-0100-0000072C0000}"/>
            </a:ext>
          </a:extLst>
        </xdr:cNvPr>
        <xdr:cNvSpPr>
          <a:spLocks noChangeArrowheads="1"/>
        </xdr:cNvSpPr>
      </xdr:nvSpPr>
      <xdr:spPr bwMode="auto">
        <a:xfrm>
          <a:off x="455543" y="2984223"/>
          <a:ext cx="2008947" cy="138320"/>
        </a:xfrm>
        <a:prstGeom prst="rightArrow">
          <a:avLst>
            <a:gd name="adj1" fmla="val 50000"/>
            <a:gd name="adj2" fmla="val 318421"/>
          </a:avLst>
        </a:prstGeom>
        <a:solidFill>
          <a:srgbClr val="FF6600"/>
        </a:solidFill>
        <a:ln w="9525">
          <a:solidFill>
            <a:srgbClr val="808080"/>
          </a:solidFill>
          <a:round/>
          <a:headEnd/>
          <a:tailEnd/>
        </a:ln>
      </xdr:spPr>
    </xdr:sp>
    <xdr:clientData/>
  </xdr:twoCellAnchor>
  <xdr:twoCellAnchor>
    <xdr:from>
      <xdr:col>3</xdr:col>
      <xdr:colOff>952500</xdr:colOff>
      <xdr:row>13</xdr:row>
      <xdr:rowOff>152400</xdr:rowOff>
    </xdr:from>
    <xdr:to>
      <xdr:col>3</xdr:col>
      <xdr:colOff>1066800</xdr:colOff>
      <xdr:row>16</xdr:row>
      <xdr:rowOff>0</xdr:rowOff>
    </xdr:to>
    <xdr:sp macro="" textlink="">
      <xdr:nvSpPr>
        <xdr:cNvPr id="11270" name="AutoShape 6">
          <a:extLst>
            <a:ext uri="{FF2B5EF4-FFF2-40B4-BE49-F238E27FC236}">
              <a16:creationId xmlns:a16="http://schemas.microsoft.com/office/drawing/2014/main" id="{00000000-0008-0000-0100-0000062C0000}"/>
            </a:ext>
          </a:extLst>
        </xdr:cNvPr>
        <xdr:cNvSpPr>
          <a:spLocks noChangeArrowheads="1"/>
        </xdr:cNvSpPr>
      </xdr:nvSpPr>
      <xdr:spPr bwMode="auto">
        <a:xfrm>
          <a:off x="5010150" y="2352675"/>
          <a:ext cx="114300" cy="333375"/>
        </a:xfrm>
        <a:prstGeom prst="upArrow">
          <a:avLst>
            <a:gd name="adj1" fmla="val 50000"/>
            <a:gd name="adj2" fmla="val 72917"/>
          </a:avLst>
        </a:prstGeom>
        <a:solidFill>
          <a:srgbClr val="CFE7F5"/>
        </a:solidFill>
        <a:ln w="9525">
          <a:solidFill>
            <a:srgbClr val="808080"/>
          </a:solidFill>
          <a:round/>
          <a:headEnd/>
          <a:tailEnd/>
        </a:ln>
      </xdr:spPr>
    </xdr:sp>
    <xdr:clientData/>
  </xdr:twoCellAnchor>
  <xdr:twoCellAnchor>
    <xdr:from>
      <xdr:col>3</xdr:col>
      <xdr:colOff>952500</xdr:colOff>
      <xdr:row>8</xdr:row>
      <xdr:rowOff>95250</xdr:rowOff>
    </xdr:from>
    <xdr:to>
      <xdr:col>3</xdr:col>
      <xdr:colOff>1038225</xdr:colOff>
      <xdr:row>10</xdr:row>
      <xdr:rowOff>104775</xdr:rowOff>
    </xdr:to>
    <xdr:sp macro="" textlink="">
      <xdr:nvSpPr>
        <xdr:cNvPr id="11268" name="AutoShape 4">
          <a:extLst>
            <a:ext uri="{FF2B5EF4-FFF2-40B4-BE49-F238E27FC236}">
              <a16:creationId xmlns:a16="http://schemas.microsoft.com/office/drawing/2014/main" id="{00000000-0008-0000-0100-0000042C0000}"/>
            </a:ext>
          </a:extLst>
        </xdr:cNvPr>
        <xdr:cNvSpPr>
          <a:spLocks noChangeArrowheads="1"/>
        </xdr:cNvSpPr>
      </xdr:nvSpPr>
      <xdr:spPr bwMode="auto">
        <a:xfrm>
          <a:off x="5010150" y="1485900"/>
          <a:ext cx="85725" cy="333375"/>
        </a:xfrm>
        <a:prstGeom prst="upArrow">
          <a:avLst>
            <a:gd name="adj1" fmla="val 50000"/>
            <a:gd name="adj2" fmla="val 97222"/>
          </a:avLst>
        </a:prstGeom>
        <a:solidFill>
          <a:srgbClr val="CFE7F5"/>
        </a:solidFill>
        <a:ln w="9525">
          <a:solidFill>
            <a:srgbClr val="808080"/>
          </a:solidFill>
          <a:round/>
          <a:headEnd/>
          <a:tailEnd/>
        </a:ln>
      </xdr:spPr>
    </xdr:sp>
    <xdr:clientData/>
  </xdr:twoCellAnchor>
  <xdr:twoCellAnchor>
    <xdr:from>
      <xdr:col>3</xdr:col>
      <xdr:colOff>114300</xdr:colOff>
      <xdr:row>8</xdr:row>
      <xdr:rowOff>95250</xdr:rowOff>
    </xdr:from>
    <xdr:to>
      <xdr:col>3</xdr:col>
      <xdr:colOff>190500</xdr:colOff>
      <xdr:row>10</xdr:row>
      <xdr:rowOff>123825</xdr:rowOff>
    </xdr:to>
    <xdr:sp macro="" textlink="">
      <xdr:nvSpPr>
        <xdr:cNvPr id="11267" name="AutoShape 3">
          <a:extLst>
            <a:ext uri="{FF2B5EF4-FFF2-40B4-BE49-F238E27FC236}">
              <a16:creationId xmlns:a16="http://schemas.microsoft.com/office/drawing/2014/main" id="{00000000-0008-0000-0100-0000032C0000}"/>
            </a:ext>
          </a:extLst>
        </xdr:cNvPr>
        <xdr:cNvSpPr>
          <a:spLocks noChangeArrowheads="1"/>
        </xdr:cNvSpPr>
      </xdr:nvSpPr>
      <xdr:spPr bwMode="auto">
        <a:xfrm>
          <a:off x="4171950" y="1485900"/>
          <a:ext cx="76200" cy="352425"/>
        </a:xfrm>
        <a:prstGeom prst="downArrow">
          <a:avLst>
            <a:gd name="adj1" fmla="val 50000"/>
            <a:gd name="adj2" fmla="val 115625"/>
          </a:avLst>
        </a:prstGeom>
        <a:solidFill>
          <a:srgbClr val="CFE7F5"/>
        </a:solidFill>
        <a:ln w="9525">
          <a:solidFill>
            <a:srgbClr val="808080"/>
          </a:solidFill>
          <a:round/>
          <a:headEnd/>
          <a:tailEnd/>
        </a:ln>
      </xdr:spPr>
    </xdr:sp>
    <xdr:clientData/>
  </xdr:twoCellAnchor>
  <xdr:twoCellAnchor>
    <xdr:from>
      <xdr:col>1</xdr:col>
      <xdr:colOff>295275</xdr:colOff>
      <xdr:row>12</xdr:row>
      <xdr:rowOff>28575</xdr:rowOff>
    </xdr:from>
    <xdr:to>
      <xdr:col>1</xdr:col>
      <xdr:colOff>657225</xdr:colOff>
      <xdr:row>12</xdr:row>
      <xdr:rowOff>123825</xdr:rowOff>
    </xdr:to>
    <xdr:sp macro="" textlink="">
      <xdr:nvSpPr>
        <xdr:cNvPr id="11266" name="AutoShape 2">
          <a:extLst>
            <a:ext uri="{FF2B5EF4-FFF2-40B4-BE49-F238E27FC236}">
              <a16:creationId xmlns:a16="http://schemas.microsoft.com/office/drawing/2014/main" id="{00000000-0008-0000-0100-0000022C0000}"/>
            </a:ext>
          </a:extLst>
        </xdr:cNvPr>
        <xdr:cNvSpPr>
          <a:spLocks noChangeArrowheads="1"/>
        </xdr:cNvSpPr>
      </xdr:nvSpPr>
      <xdr:spPr bwMode="auto">
        <a:xfrm>
          <a:off x="1476375" y="2066925"/>
          <a:ext cx="361950" cy="95250"/>
        </a:xfrm>
        <a:prstGeom prst="leftArrow">
          <a:avLst>
            <a:gd name="adj1" fmla="val 50000"/>
            <a:gd name="adj2" fmla="val 95000"/>
          </a:avLst>
        </a:prstGeom>
        <a:solidFill>
          <a:srgbClr val="CFE7F5"/>
        </a:solidFill>
        <a:ln w="9525">
          <a:solidFill>
            <a:srgbClr val="808080"/>
          </a:solidFill>
          <a:round/>
          <a:headEnd/>
          <a:tailEnd/>
        </a:ln>
      </xdr:spPr>
    </xdr:sp>
    <xdr:clientData/>
  </xdr:twoCellAnchor>
  <xdr:twoCellAnchor>
    <xdr:from>
      <xdr:col>0</xdr:col>
      <xdr:colOff>790575</xdr:colOff>
      <xdr:row>10</xdr:row>
      <xdr:rowOff>85725</xdr:rowOff>
    </xdr:from>
    <xdr:to>
      <xdr:col>1</xdr:col>
      <xdr:colOff>219075</xdr:colOff>
      <xdr:row>14</xdr:row>
      <xdr:rowOff>38100</xdr:rowOff>
    </xdr:to>
    <xdr:sp macro="" textlink="">
      <xdr:nvSpPr>
        <xdr:cNvPr id="15" name="AutoShape 143">
          <a:extLst>
            <a:ext uri="{FF2B5EF4-FFF2-40B4-BE49-F238E27FC236}">
              <a16:creationId xmlns:a16="http://schemas.microsoft.com/office/drawing/2014/main" id="{00000000-0008-0000-0100-00000F000000}"/>
            </a:ext>
          </a:extLst>
        </xdr:cNvPr>
        <xdr:cNvSpPr>
          <a:spLocks noChangeArrowheads="1"/>
        </xdr:cNvSpPr>
      </xdr:nvSpPr>
      <xdr:spPr bwMode="auto">
        <a:xfrm>
          <a:off x="790575" y="1800225"/>
          <a:ext cx="609600" cy="600075"/>
        </a:xfrm>
        <a:prstGeom prst="flowChartPunchedTape">
          <a:avLst/>
        </a:prstGeom>
        <a:solidFill>
          <a:srgbClr val="CFE7F5"/>
        </a:solidFill>
        <a:ln w="9525">
          <a:solidFill>
            <a:srgbClr val="808080"/>
          </a:solidFill>
          <a:round/>
          <a:headEnd/>
          <a:tailEnd/>
        </a:ln>
      </xdr:spPr>
      <xdr:txBody>
        <a:bodyPr vertOverflow="clip" wrap="square" lIns="0" tIns="0" rIns="0" bIns="0" anchor="b"/>
        <a:lstStyle/>
        <a:p>
          <a:pPr algn="ctr" rtl="0">
            <a:defRPr sz="1000"/>
          </a:pPr>
          <a:r>
            <a:rPr lang="sl-SI" sz="1200" b="1" i="0" u="none" strike="noStrike" baseline="0">
              <a:solidFill>
                <a:srgbClr val="000000"/>
              </a:solidFill>
              <a:latin typeface="Times New Roman"/>
              <a:cs typeface="Times New Roman"/>
            </a:rPr>
            <a:t>A test</a:t>
          </a:r>
        </a:p>
        <a:p>
          <a:pPr algn="l" rtl="0">
            <a:defRPr sz="1000"/>
          </a:pPr>
          <a:r>
            <a:rPr lang="sl-SI" sz="1200" b="0" i="0" u="none" strike="noStrike" baseline="0">
              <a:solidFill>
                <a:srgbClr val="000000"/>
              </a:solidFill>
              <a:latin typeface="Times New Roman"/>
              <a:cs typeface="Times New Roman"/>
            </a:rPr>
            <a:t> </a:t>
          </a:r>
        </a:p>
      </xdr:txBody>
    </xdr:sp>
    <xdr:clientData/>
  </xdr:twoCellAnchor>
  <xdr:twoCellAnchor>
    <xdr:from>
      <xdr:col>2</xdr:col>
      <xdr:colOff>1664805</xdr:colOff>
      <xdr:row>11</xdr:row>
      <xdr:rowOff>0</xdr:rowOff>
    </xdr:from>
    <xdr:to>
      <xdr:col>3</xdr:col>
      <xdr:colOff>1485900</xdr:colOff>
      <xdr:row>13</xdr:row>
      <xdr:rowOff>104774</xdr:rowOff>
    </xdr:to>
    <xdr:grpSp>
      <xdr:nvGrpSpPr>
        <xdr:cNvPr id="16" name="Skupina 15">
          <a:extLst>
            <a:ext uri="{FF2B5EF4-FFF2-40B4-BE49-F238E27FC236}">
              <a16:creationId xmlns:a16="http://schemas.microsoft.com/office/drawing/2014/main" id="{00000000-0008-0000-0100-000010000000}"/>
            </a:ext>
          </a:extLst>
        </xdr:cNvPr>
        <xdr:cNvGrpSpPr/>
      </xdr:nvGrpSpPr>
      <xdr:grpSpPr>
        <a:xfrm>
          <a:off x="3710609" y="1905000"/>
          <a:ext cx="1842052" cy="436078"/>
          <a:chOff x="6781800" y="1752600"/>
          <a:chExt cx="1800225" cy="428624"/>
        </a:xfrm>
      </xdr:grpSpPr>
      <xdr:sp macro="" textlink="">
        <xdr:nvSpPr>
          <xdr:cNvPr id="17" name="Rectangle 157">
            <a:extLst>
              <a:ext uri="{FF2B5EF4-FFF2-40B4-BE49-F238E27FC236}">
                <a16:creationId xmlns:a16="http://schemas.microsoft.com/office/drawing/2014/main" id="{00000000-0008-0000-0100-000011000000}"/>
              </a:ext>
            </a:extLst>
          </xdr:cNvPr>
          <xdr:cNvSpPr>
            <a:spLocks noChangeArrowheads="1"/>
          </xdr:cNvSpPr>
        </xdr:nvSpPr>
        <xdr:spPr bwMode="auto">
          <a:xfrm>
            <a:off x="6781800" y="1752600"/>
            <a:ext cx="1800225" cy="219075"/>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Production management</a:t>
            </a:r>
          </a:p>
        </xdr:txBody>
      </xdr:sp>
      <xdr:sp macro="" textlink="">
        <xdr:nvSpPr>
          <xdr:cNvPr id="18" name="Rectangle 156">
            <a:extLst>
              <a:ext uri="{FF2B5EF4-FFF2-40B4-BE49-F238E27FC236}">
                <a16:creationId xmlns:a16="http://schemas.microsoft.com/office/drawing/2014/main" id="{00000000-0008-0000-0100-000012000000}"/>
              </a:ext>
            </a:extLst>
          </xdr:cNvPr>
          <xdr:cNvSpPr>
            <a:spLocks noChangeArrowheads="1"/>
          </xdr:cNvSpPr>
        </xdr:nvSpPr>
        <xdr:spPr bwMode="auto">
          <a:xfrm>
            <a:off x="6781800" y="1962149"/>
            <a:ext cx="1800225" cy="219075"/>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Quality department</a:t>
            </a:r>
          </a:p>
        </xdr:txBody>
      </xdr:sp>
    </xdr:grpSp>
    <xdr:clientData/>
  </xdr:twoCellAnchor>
  <xdr:twoCellAnchor>
    <xdr:from>
      <xdr:col>3</xdr:col>
      <xdr:colOff>685799</xdr:colOff>
      <xdr:row>15</xdr:row>
      <xdr:rowOff>142875</xdr:rowOff>
    </xdr:from>
    <xdr:to>
      <xdr:col>3</xdr:col>
      <xdr:colOff>1476374</xdr:colOff>
      <xdr:row>20</xdr:row>
      <xdr:rowOff>133350</xdr:rowOff>
    </xdr:to>
    <xdr:sp macro="" textlink="">
      <xdr:nvSpPr>
        <xdr:cNvPr id="19" name="AutoShape 143">
          <a:extLst>
            <a:ext uri="{FF2B5EF4-FFF2-40B4-BE49-F238E27FC236}">
              <a16:creationId xmlns:a16="http://schemas.microsoft.com/office/drawing/2014/main" id="{00000000-0008-0000-0100-000013000000}"/>
            </a:ext>
          </a:extLst>
        </xdr:cNvPr>
        <xdr:cNvSpPr>
          <a:spLocks noChangeArrowheads="1"/>
        </xdr:cNvSpPr>
      </xdr:nvSpPr>
      <xdr:spPr bwMode="auto">
        <a:xfrm>
          <a:off x="4743449" y="2667000"/>
          <a:ext cx="790575" cy="800100"/>
        </a:xfrm>
        <a:prstGeom prst="flowChartPunchedTape">
          <a:avLst/>
        </a:prstGeom>
        <a:solidFill>
          <a:srgbClr val="CFE7F5"/>
        </a:solidFill>
        <a:ln w="9525">
          <a:solidFill>
            <a:srgbClr val="808080"/>
          </a:solidFill>
          <a:round/>
          <a:headEnd/>
          <a:tailEnd/>
        </a:ln>
      </xdr:spPr>
      <xdr:txBody>
        <a:bodyPr vertOverflow="clip" wrap="square" lIns="0" tIns="0" rIns="0" bIns="0" anchor="b"/>
        <a:lstStyle/>
        <a:p>
          <a:pPr algn="ctr" rtl="0">
            <a:defRPr sz="1000"/>
          </a:pPr>
          <a:r>
            <a:rPr lang="sl-SI" sz="800" b="1" i="0" u="none" strike="noStrike" baseline="0">
              <a:solidFill>
                <a:srgbClr val="000000"/>
              </a:solidFill>
              <a:latin typeface="Times New Roman"/>
              <a:cs typeface="Times New Roman"/>
            </a:rPr>
            <a:t>PPAP and control documents</a:t>
          </a:r>
        </a:p>
        <a:p>
          <a:pPr algn="l" rtl="0">
            <a:defRPr sz="1000"/>
          </a:pPr>
          <a:r>
            <a:rPr lang="sl-SI" sz="1200" b="0" i="0" u="none" strike="noStrike" baseline="0">
              <a:solidFill>
                <a:srgbClr val="000000"/>
              </a:solidFill>
              <a:latin typeface="Times New Roman"/>
              <a:cs typeface="Times New Roman"/>
            </a:rPr>
            <a:t> </a:t>
          </a:r>
        </a:p>
      </xdr:txBody>
    </xdr:sp>
    <xdr:clientData/>
  </xdr:twoCellAnchor>
  <xdr:twoCellAnchor>
    <xdr:from>
      <xdr:col>2</xdr:col>
      <xdr:colOff>1304925</xdr:colOff>
      <xdr:row>12</xdr:row>
      <xdr:rowOff>38100</xdr:rowOff>
    </xdr:from>
    <xdr:to>
      <xdr:col>2</xdr:col>
      <xdr:colOff>1666875</xdr:colOff>
      <xdr:row>12</xdr:row>
      <xdr:rowOff>133350</xdr:rowOff>
    </xdr:to>
    <xdr:sp macro="" textlink="">
      <xdr:nvSpPr>
        <xdr:cNvPr id="20" name="AutoShape 2">
          <a:extLst>
            <a:ext uri="{FF2B5EF4-FFF2-40B4-BE49-F238E27FC236}">
              <a16:creationId xmlns:a16="http://schemas.microsoft.com/office/drawing/2014/main" id="{00000000-0008-0000-0100-000014000000}"/>
            </a:ext>
          </a:extLst>
        </xdr:cNvPr>
        <xdr:cNvSpPr>
          <a:spLocks noChangeArrowheads="1"/>
        </xdr:cNvSpPr>
      </xdr:nvSpPr>
      <xdr:spPr bwMode="auto">
        <a:xfrm>
          <a:off x="3343275" y="2076450"/>
          <a:ext cx="361950" cy="95250"/>
        </a:xfrm>
        <a:prstGeom prst="leftArrow">
          <a:avLst>
            <a:gd name="adj1" fmla="val 50000"/>
            <a:gd name="adj2" fmla="val 95000"/>
          </a:avLst>
        </a:prstGeom>
        <a:solidFill>
          <a:srgbClr val="CFE7F5"/>
        </a:solidFill>
        <a:ln w="9525">
          <a:solidFill>
            <a:srgbClr val="808080"/>
          </a:solidFill>
          <a:round/>
          <a:headEnd/>
          <a:tailEnd/>
        </a:ln>
      </xdr:spPr>
    </xdr:sp>
    <xdr:clientData/>
  </xdr:twoCellAnchor>
  <xdr:twoCellAnchor>
    <xdr:from>
      <xdr:col>2</xdr:col>
      <xdr:colOff>463827</xdr:colOff>
      <xdr:row>17</xdr:row>
      <xdr:rowOff>12010</xdr:rowOff>
    </xdr:from>
    <xdr:to>
      <xdr:col>2</xdr:col>
      <xdr:colOff>683316</xdr:colOff>
      <xdr:row>18</xdr:row>
      <xdr:rowOff>16566</xdr:rowOff>
    </xdr:to>
    <xdr:sp macro="" textlink="">
      <xdr:nvSpPr>
        <xdr:cNvPr id="11278" name="AutoShape 14">
          <a:extLst>
            <a:ext uri="{FF2B5EF4-FFF2-40B4-BE49-F238E27FC236}">
              <a16:creationId xmlns:a16="http://schemas.microsoft.com/office/drawing/2014/main" id="{00000000-0008-0000-0100-00000E2C0000}"/>
            </a:ext>
          </a:extLst>
        </xdr:cNvPr>
        <xdr:cNvSpPr>
          <a:spLocks noChangeArrowheads="1"/>
        </xdr:cNvSpPr>
      </xdr:nvSpPr>
      <xdr:spPr bwMode="auto">
        <a:xfrm>
          <a:off x="2509631" y="2910923"/>
          <a:ext cx="219489" cy="170208"/>
        </a:xfrm>
        <a:prstGeom prst="triangle">
          <a:avLst>
            <a:gd name="adj" fmla="val 50000"/>
          </a:avLst>
        </a:prstGeom>
        <a:solidFill>
          <a:srgbClr val="CFE7F5"/>
        </a:solidFill>
        <a:ln w="9525">
          <a:solidFill>
            <a:srgbClr val="808080"/>
          </a:solidFill>
          <a:round/>
          <a:headEnd/>
          <a:tailEnd/>
        </a:ln>
      </xdr:spPr>
    </xdr:sp>
    <xdr:clientData/>
  </xdr:twoCellAnchor>
  <xdr:twoCellAnchor>
    <xdr:from>
      <xdr:col>2</xdr:col>
      <xdr:colOff>533400</xdr:colOff>
      <xdr:row>15</xdr:row>
      <xdr:rowOff>47625</xdr:rowOff>
    </xdr:from>
    <xdr:to>
      <xdr:col>2</xdr:col>
      <xdr:colOff>619125</xdr:colOff>
      <xdr:row>17</xdr:row>
      <xdr:rowOff>9525</xdr:rowOff>
    </xdr:to>
    <xdr:sp macro="" textlink="">
      <xdr:nvSpPr>
        <xdr:cNvPr id="11279" name="AutoShape 15">
          <a:extLst>
            <a:ext uri="{FF2B5EF4-FFF2-40B4-BE49-F238E27FC236}">
              <a16:creationId xmlns:a16="http://schemas.microsoft.com/office/drawing/2014/main" id="{00000000-0008-0000-0100-00000F2C0000}"/>
            </a:ext>
          </a:extLst>
        </xdr:cNvPr>
        <xdr:cNvSpPr>
          <a:spLocks noChangeArrowheads="1"/>
        </xdr:cNvSpPr>
      </xdr:nvSpPr>
      <xdr:spPr bwMode="auto">
        <a:xfrm>
          <a:off x="2571750" y="2571750"/>
          <a:ext cx="85725" cy="285750"/>
        </a:xfrm>
        <a:prstGeom prst="downArrow">
          <a:avLst>
            <a:gd name="adj1" fmla="val 50000"/>
            <a:gd name="adj2" fmla="val 83333"/>
          </a:avLst>
        </a:prstGeom>
        <a:solidFill>
          <a:srgbClr val="CFE7F5"/>
        </a:solidFill>
        <a:ln w="9525">
          <a:solidFill>
            <a:srgbClr val="808080"/>
          </a:solidFill>
          <a:round/>
          <a:headEnd/>
          <a:tailEnd/>
        </a:ln>
      </xdr:spPr>
    </xdr:sp>
    <xdr:clientData/>
  </xdr:twoCellAnchor>
  <xdr:twoCellAnchor>
    <xdr:from>
      <xdr:col>2</xdr:col>
      <xdr:colOff>533400</xdr:colOff>
      <xdr:row>18</xdr:row>
      <xdr:rowOff>38100</xdr:rowOff>
    </xdr:from>
    <xdr:to>
      <xdr:col>2</xdr:col>
      <xdr:colOff>609600</xdr:colOff>
      <xdr:row>19</xdr:row>
      <xdr:rowOff>104775</xdr:rowOff>
    </xdr:to>
    <xdr:sp macro="" textlink="">
      <xdr:nvSpPr>
        <xdr:cNvPr id="11280" name="AutoShape 16">
          <a:extLst>
            <a:ext uri="{FF2B5EF4-FFF2-40B4-BE49-F238E27FC236}">
              <a16:creationId xmlns:a16="http://schemas.microsoft.com/office/drawing/2014/main" id="{00000000-0008-0000-0100-0000102C0000}"/>
            </a:ext>
          </a:extLst>
        </xdr:cNvPr>
        <xdr:cNvSpPr>
          <a:spLocks noChangeArrowheads="1"/>
        </xdr:cNvSpPr>
      </xdr:nvSpPr>
      <xdr:spPr bwMode="auto">
        <a:xfrm>
          <a:off x="2571750" y="3048000"/>
          <a:ext cx="76200" cy="228600"/>
        </a:xfrm>
        <a:prstGeom prst="downArrow">
          <a:avLst>
            <a:gd name="adj1" fmla="val 50000"/>
            <a:gd name="adj2" fmla="val 75000"/>
          </a:avLst>
        </a:prstGeom>
        <a:solidFill>
          <a:srgbClr val="CFE7F5"/>
        </a:solidFill>
        <a:ln w="9525">
          <a:solidFill>
            <a:srgbClr val="808080"/>
          </a:solidFill>
          <a:round/>
          <a:headEnd/>
          <a:tailEnd/>
        </a:ln>
      </xdr:spPr>
    </xdr:sp>
    <xdr:clientData/>
  </xdr:twoCellAnchor>
  <xdr:twoCellAnchor>
    <xdr:from>
      <xdr:col>3</xdr:col>
      <xdr:colOff>866775</xdr:colOff>
      <xdr:row>25</xdr:row>
      <xdr:rowOff>38100</xdr:rowOff>
    </xdr:from>
    <xdr:to>
      <xdr:col>3</xdr:col>
      <xdr:colOff>1181100</xdr:colOff>
      <xdr:row>25</xdr:row>
      <xdr:rowOff>142875</xdr:rowOff>
    </xdr:to>
    <xdr:sp macro="" textlink="">
      <xdr:nvSpPr>
        <xdr:cNvPr id="11281" name="AutoShape 17">
          <a:extLst>
            <a:ext uri="{FF2B5EF4-FFF2-40B4-BE49-F238E27FC236}">
              <a16:creationId xmlns:a16="http://schemas.microsoft.com/office/drawing/2014/main" id="{00000000-0008-0000-0100-0000112C0000}"/>
            </a:ext>
          </a:extLst>
        </xdr:cNvPr>
        <xdr:cNvSpPr>
          <a:spLocks noChangeArrowheads="1"/>
        </xdr:cNvSpPr>
      </xdr:nvSpPr>
      <xdr:spPr bwMode="auto">
        <a:xfrm>
          <a:off x="4924425" y="4181475"/>
          <a:ext cx="314325" cy="104775"/>
        </a:xfrm>
        <a:prstGeom prst="rightArrow">
          <a:avLst>
            <a:gd name="adj1" fmla="val 50000"/>
            <a:gd name="adj2" fmla="val 75000"/>
          </a:avLst>
        </a:prstGeom>
        <a:solidFill>
          <a:srgbClr val="CFE7F5"/>
        </a:solidFill>
        <a:ln w="9525">
          <a:solidFill>
            <a:srgbClr val="808080"/>
          </a:solidFill>
          <a:round/>
          <a:headEnd/>
          <a:tailEnd/>
        </a:ln>
      </xdr:spPr>
    </xdr:sp>
    <xdr:clientData/>
  </xdr:twoCellAnchor>
  <xdr:twoCellAnchor>
    <xdr:from>
      <xdr:col>3</xdr:col>
      <xdr:colOff>981075</xdr:colOff>
      <xdr:row>33</xdr:row>
      <xdr:rowOff>28575</xdr:rowOff>
    </xdr:from>
    <xdr:to>
      <xdr:col>3</xdr:col>
      <xdr:colOff>1485900</xdr:colOff>
      <xdr:row>33</xdr:row>
      <xdr:rowOff>152400</xdr:rowOff>
    </xdr:to>
    <xdr:sp macro="" textlink="">
      <xdr:nvSpPr>
        <xdr:cNvPr id="11282" name="AutoShape 18">
          <a:extLst>
            <a:ext uri="{FF2B5EF4-FFF2-40B4-BE49-F238E27FC236}">
              <a16:creationId xmlns:a16="http://schemas.microsoft.com/office/drawing/2014/main" id="{00000000-0008-0000-0100-0000122C0000}"/>
            </a:ext>
          </a:extLst>
        </xdr:cNvPr>
        <xdr:cNvSpPr>
          <a:spLocks noChangeArrowheads="1"/>
        </xdr:cNvSpPr>
      </xdr:nvSpPr>
      <xdr:spPr bwMode="auto">
        <a:xfrm>
          <a:off x="5038725" y="5467350"/>
          <a:ext cx="504825" cy="123825"/>
        </a:xfrm>
        <a:prstGeom prst="flowChartInputOutput">
          <a:avLst/>
        </a:prstGeom>
        <a:solidFill>
          <a:srgbClr val="CFE7F5"/>
        </a:solidFill>
        <a:ln w="9525">
          <a:solidFill>
            <a:srgbClr val="808080"/>
          </a:solidFill>
          <a:round/>
          <a:headEnd/>
          <a:tailEnd/>
        </a:ln>
      </xdr:spPr>
    </xdr:sp>
    <xdr:clientData/>
  </xdr:twoCellAnchor>
  <xdr:twoCellAnchor>
    <xdr:from>
      <xdr:col>3</xdr:col>
      <xdr:colOff>1019175</xdr:colOff>
      <xdr:row>31</xdr:row>
      <xdr:rowOff>9525</xdr:rowOff>
    </xdr:from>
    <xdr:to>
      <xdr:col>3</xdr:col>
      <xdr:colOff>1438275</xdr:colOff>
      <xdr:row>32</xdr:row>
      <xdr:rowOff>0</xdr:rowOff>
    </xdr:to>
    <xdr:sp macro="" textlink="">
      <xdr:nvSpPr>
        <xdr:cNvPr id="11283" name="Oval 19">
          <a:extLst>
            <a:ext uri="{FF2B5EF4-FFF2-40B4-BE49-F238E27FC236}">
              <a16:creationId xmlns:a16="http://schemas.microsoft.com/office/drawing/2014/main" id="{00000000-0008-0000-0100-0000132C0000}"/>
            </a:ext>
          </a:extLst>
        </xdr:cNvPr>
        <xdr:cNvSpPr>
          <a:spLocks noChangeArrowheads="1"/>
        </xdr:cNvSpPr>
      </xdr:nvSpPr>
      <xdr:spPr bwMode="auto">
        <a:xfrm>
          <a:off x="5076825" y="5124450"/>
          <a:ext cx="419100" cy="152400"/>
        </a:xfrm>
        <a:prstGeom prst="ellipse">
          <a:avLst/>
        </a:prstGeom>
        <a:solidFill>
          <a:srgbClr val="CFE7F5"/>
        </a:solidFill>
        <a:ln w="9525">
          <a:solidFill>
            <a:srgbClr val="808080"/>
          </a:solidFill>
          <a:round/>
          <a:headEnd/>
          <a:tailEnd/>
        </a:ln>
      </xdr:spPr>
    </xdr:sp>
    <xdr:clientData/>
  </xdr:twoCellAnchor>
  <xdr:twoCellAnchor>
    <xdr:from>
      <xdr:col>3</xdr:col>
      <xdr:colOff>514350</xdr:colOff>
      <xdr:row>28</xdr:row>
      <xdr:rowOff>104775</xdr:rowOff>
    </xdr:from>
    <xdr:to>
      <xdr:col>3</xdr:col>
      <xdr:colOff>857250</xdr:colOff>
      <xdr:row>30</xdr:row>
      <xdr:rowOff>95250</xdr:rowOff>
    </xdr:to>
    <xdr:sp macro="" textlink="">
      <xdr:nvSpPr>
        <xdr:cNvPr id="11284" name="AutoShape 20">
          <a:extLst>
            <a:ext uri="{FF2B5EF4-FFF2-40B4-BE49-F238E27FC236}">
              <a16:creationId xmlns:a16="http://schemas.microsoft.com/office/drawing/2014/main" id="{00000000-0008-0000-0100-0000142C0000}"/>
            </a:ext>
          </a:extLst>
        </xdr:cNvPr>
        <xdr:cNvSpPr>
          <a:spLocks noChangeArrowheads="1"/>
        </xdr:cNvSpPr>
      </xdr:nvSpPr>
      <xdr:spPr bwMode="auto">
        <a:xfrm>
          <a:off x="4572000" y="4733925"/>
          <a:ext cx="342900" cy="314325"/>
        </a:xfrm>
        <a:prstGeom prst="diamond">
          <a:avLst/>
        </a:prstGeom>
        <a:solidFill>
          <a:srgbClr val="99FFCC"/>
        </a:solidFill>
        <a:ln w="9525">
          <a:solidFill>
            <a:srgbClr val="808080"/>
          </a:solidFill>
          <a:round/>
          <a:headEnd/>
          <a:tailEnd/>
        </a:ln>
      </xdr:spPr>
    </xdr:sp>
    <xdr:clientData/>
  </xdr:twoCellAnchor>
  <xdr:twoCellAnchor>
    <xdr:from>
      <xdr:col>3</xdr:col>
      <xdr:colOff>714375</xdr:colOff>
      <xdr:row>27</xdr:row>
      <xdr:rowOff>38100</xdr:rowOff>
    </xdr:from>
    <xdr:to>
      <xdr:col>3</xdr:col>
      <xdr:colOff>1038225</xdr:colOff>
      <xdr:row>27</xdr:row>
      <xdr:rowOff>152400</xdr:rowOff>
    </xdr:to>
    <xdr:sp macro="" textlink="">
      <xdr:nvSpPr>
        <xdr:cNvPr id="11285" name="AutoShape 21">
          <a:extLst>
            <a:ext uri="{FF2B5EF4-FFF2-40B4-BE49-F238E27FC236}">
              <a16:creationId xmlns:a16="http://schemas.microsoft.com/office/drawing/2014/main" id="{00000000-0008-0000-0100-0000152C0000}"/>
            </a:ext>
          </a:extLst>
        </xdr:cNvPr>
        <xdr:cNvSpPr>
          <a:spLocks noChangeArrowheads="1"/>
        </xdr:cNvSpPr>
      </xdr:nvSpPr>
      <xdr:spPr bwMode="auto">
        <a:xfrm>
          <a:off x="4772025" y="4505325"/>
          <a:ext cx="323850" cy="114300"/>
        </a:xfrm>
        <a:prstGeom prst="rightArrow">
          <a:avLst>
            <a:gd name="adj1" fmla="val 50000"/>
            <a:gd name="adj2" fmla="val 70833"/>
          </a:avLst>
        </a:prstGeom>
        <a:solidFill>
          <a:srgbClr val="FF6600"/>
        </a:solidFill>
        <a:ln w="9525">
          <a:solidFill>
            <a:srgbClr val="808080"/>
          </a:solidFill>
          <a:round/>
          <a:headEnd/>
          <a:tailEnd/>
        </a:ln>
      </xdr:spPr>
    </xdr:sp>
    <xdr:clientData/>
  </xdr:twoCellAnchor>
  <xdr:twoCellAnchor>
    <xdr:from>
      <xdr:col>1</xdr:col>
      <xdr:colOff>666750</xdr:colOff>
      <xdr:row>19</xdr:row>
      <xdr:rowOff>142875</xdr:rowOff>
    </xdr:from>
    <xdr:to>
      <xdr:col>2</xdr:col>
      <xdr:colOff>1396093</xdr:colOff>
      <xdr:row>22</xdr:row>
      <xdr:rowOff>127907</xdr:rowOff>
    </xdr:to>
    <xdr:sp macro="" textlink="">
      <xdr:nvSpPr>
        <xdr:cNvPr id="30" name="Rectangle 142">
          <a:extLst>
            <a:ext uri="{FF2B5EF4-FFF2-40B4-BE49-F238E27FC236}">
              <a16:creationId xmlns:a16="http://schemas.microsoft.com/office/drawing/2014/main" id="{00000000-0008-0000-0100-00001E000000}"/>
            </a:ext>
          </a:extLst>
        </xdr:cNvPr>
        <xdr:cNvSpPr>
          <a:spLocks noChangeArrowheads="1"/>
        </xdr:cNvSpPr>
      </xdr:nvSpPr>
      <xdr:spPr bwMode="auto">
        <a:xfrm>
          <a:off x="1847850" y="3314700"/>
          <a:ext cx="1586593" cy="470807"/>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 001 - Melting</a:t>
          </a:r>
        </a:p>
      </xdr:txBody>
    </xdr:sp>
    <xdr:clientData/>
  </xdr:twoCellAnchor>
  <xdr:twoCellAnchor>
    <xdr:from>
      <xdr:col>1</xdr:col>
      <xdr:colOff>247650</xdr:colOff>
      <xdr:row>21</xdr:row>
      <xdr:rowOff>28575</xdr:rowOff>
    </xdr:from>
    <xdr:to>
      <xdr:col>1</xdr:col>
      <xdr:colOff>609600</xdr:colOff>
      <xdr:row>21</xdr:row>
      <xdr:rowOff>123825</xdr:rowOff>
    </xdr:to>
    <xdr:sp macro="" textlink="">
      <xdr:nvSpPr>
        <xdr:cNvPr id="31" name="AutoShape 2">
          <a:extLst>
            <a:ext uri="{FF2B5EF4-FFF2-40B4-BE49-F238E27FC236}">
              <a16:creationId xmlns:a16="http://schemas.microsoft.com/office/drawing/2014/main" id="{00000000-0008-0000-0100-00001F000000}"/>
            </a:ext>
          </a:extLst>
        </xdr:cNvPr>
        <xdr:cNvSpPr>
          <a:spLocks noChangeArrowheads="1"/>
        </xdr:cNvSpPr>
      </xdr:nvSpPr>
      <xdr:spPr bwMode="auto">
        <a:xfrm>
          <a:off x="1428750" y="3524250"/>
          <a:ext cx="361950" cy="95250"/>
        </a:xfrm>
        <a:prstGeom prst="leftArrow">
          <a:avLst>
            <a:gd name="adj1" fmla="val 50000"/>
            <a:gd name="adj2" fmla="val 95000"/>
          </a:avLst>
        </a:prstGeom>
        <a:solidFill>
          <a:srgbClr val="CFE7F5"/>
        </a:solidFill>
        <a:ln w="9525">
          <a:solidFill>
            <a:srgbClr val="808080"/>
          </a:solidFill>
          <a:round/>
          <a:headEnd/>
          <a:tailEnd/>
        </a:ln>
      </xdr:spPr>
    </xdr:sp>
    <xdr:clientData/>
  </xdr:twoCellAnchor>
  <xdr:twoCellAnchor>
    <xdr:from>
      <xdr:col>0</xdr:col>
      <xdr:colOff>742950</xdr:colOff>
      <xdr:row>20</xdr:row>
      <xdr:rowOff>9525</xdr:rowOff>
    </xdr:from>
    <xdr:to>
      <xdr:col>1</xdr:col>
      <xdr:colOff>107496</xdr:colOff>
      <xdr:row>22</xdr:row>
      <xdr:rowOff>126546</xdr:rowOff>
    </xdr:to>
    <xdr:sp macro="" textlink="">
      <xdr:nvSpPr>
        <xdr:cNvPr id="32" name="AutoShape 121">
          <a:extLst>
            <a:ext uri="{FF2B5EF4-FFF2-40B4-BE49-F238E27FC236}">
              <a16:creationId xmlns:a16="http://schemas.microsoft.com/office/drawing/2014/main" id="{00000000-0008-0000-0100-000020000000}"/>
            </a:ext>
          </a:extLst>
        </xdr:cNvPr>
        <xdr:cNvSpPr>
          <a:spLocks noChangeArrowheads="1"/>
        </xdr:cNvSpPr>
      </xdr:nvSpPr>
      <xdr:spPr bwMode="auto">
        <a:xfrm>
          <a:off x="742950" y="3343275"/>
          <a:ext cx="545646" cy="440871"/>
        </a:xfrm>
        <a:prstGeom prst="flowChartPunchedTape">
          <a:avLst/>
        </a:prstGeom>
        <a:solidFill>
          <a:srgbClr val="CFE7F5"/>
        </a:solidFill>
        <a:ln w="9525">
          <a:solidFill>
            <a:srgbClr val="808080"/>
          </a:solidFill>
          <a:round/>
          <a:headEnd/>
          <a:tailEnd/>
        </a:ln>
      </xdr:spPr>
      <xdr:txBody>
        <a:bodyPr vertOverflow="clip" wrap="square" lIns="0" tIns="0" rIns="0" bIns="0" anchor="t"/>
        <a:lstStyle/>
        <a:p>
          <a:pPr algn="l" rtl="0">
            <a:defRPr sz="1000"/>
          </a:pPr>
          <a:r>
            <a:rPr lang="sl-SI" sz="800" b="0" i="0" u="none" strike="noStrike" baseline="0">
              <a:solidFill>
                <a:srgbClr val="000000"/>
              </a:solidFill>
              <a:latin typeface="Times New Roman"/>
              <a:cs typeface="Times New Roman"/>
            </a:rPr>
            <a:t>Control plan:</a:t>
          </a:r>
          <a:endParaRPr lang="sl-SI" sz="1200" b="0" i="0" u="none" strike="noStrike" baseline="0">
            <a:solidFill>
              <a:srgbClr val="000000"/>
            </a:solidFill>
            <a:latin typeface="Times New Roman"/>
            <a:cs typeface="Times New Roman"/>
          </a:endParaRPr>
        </a:p>
        <a:p>
          <a:pPr algn="l" rtl="0">
            <a:defRPr sz="1000"/>
          </a:pPr>
          <a:r>
            <a:rPr lang="sl-SI" sz="800" b="0" i="0" u="none" strike="noStrike" baseline="0">
              <a:solidFill>
                <a:srgbClr val="000000"/>
              </a:solidFill>
              <a:latin typeface="Times New Roman"/>
              <a:cs typeface="Times New Roman"/>
            </a:rPr>
            <a:t>Nr : 0x</a:t>
          </a:r>
        </a:p>
      </xdr:txBody>
    </xdr:sp>
    <xdr:clientData/>
  </xdr:twoCellAnchor>
  <xdr:twoCellAnchor>
    <xdr:from>
      <xdr:col>2</xdr:col>
      <xdr:colOff>523875</xdr:colOff>
      <xdr:row>22</xdr:row>
      <xdr:rowOff>142875</xdr:rowOff>
    </xdr:from>
    <xdr:to>
      <xdr:col>2</xdr:col>
      <xdr:colOff>621846</xdr:colOff>
      <xdr:row>23</xdr:row>
      <xdr:rowOff>134711</xdr:rowOff>
    </xdr:to>
    <xdr:sp macro="" textlink="">
      <xdr:nvSpPr>
        <xdr:cNvPr id="36" name="AutoShape 150">
          <a:extLst>
            <a:ext uri="{FF2B5EF4-FFF2-40B4-BE49-F238E27FC236}">
              <a16:creationId xmlns:a16="http://schemas.microsoft.com/office/drawing/2014/main" id="{00000000-0008-0000-0100-000024000000}"/>
            </a:ext>
          </a:extLst>
        </xdr:cNvPr>
        <xdr:cNvSpPr>
          <a:spLocks noChangeArrowheads="1"/>
        </xdr:cNvSpPr>
      </xdr:nvSpPr>
      <xdr:spPr bwMode="auto">
        <a:xfrm rot="10800000">
          <a:off x="2562225" y="3800475"/>
          <a:ext cx="97971" cy="153761"/>
        </a:xfrm>
        <a:prstGeom prst="upArrow">
          <a:avLst>
            <a:gd name="adj1" fmla="val 50000"/>
            <a:gd name="adj2" fmla="val 72917"/>
          </a:avLst>
        </a:prstGeom>
        <a:solidFill>
          <a:srgbClr val="CFE7F5"/>
        </a:solidFill>
        <a:ln w="9525">
          <a:solidFill>
            <a:srgbClr val="808080"/>
          </a:solidFill>
          <a:round/>
          <a:headEnd/>
          <a:tailEnd/>
        </a:ln>
      </xdr:spPr>
    </xdr:sp>
    <xdr:clientData/>
  </xdr:twoCellAnchor>
  <xdr:twoCellAnchor>
    <xdr:from>
      <xdr:col>2</xdr:col>
      <xdr:colOff>532086</xdr:colOff>
      <xdr:row>27</xdr:row>
      <xdr:rowOff>6569</xdr:rowOff>
    </xdr:from>
    <xdr:to>
      <xdr:col>2</xdr:col>
      <xdr:colOff>630057</xdr:colOff>
      <xdr:row>27</xdr:row>
      <xdr:rowOff>160330</xdr:rowOff>
    </xdr:to>
    <xdr:sp macro="" textlink="">
      <xdr:nvSpPr>
        <xdr:cNvPr id="37" name="AutoShape 150">
          <a:extLst>
            <a:ext uri="{FF2B5EF4-FFF2-40B4-BE49-F238E27FC236}">
              <a16:creationId xmlns:a16="http://schemas.microsoft.com/office/drawing/2014/main" id="{00000000-0008-0000-0100-000025000000}"/>
            </a:ext>
          </a:extLst>
        </xdr:cNvPr>
        <xdr:cNvSpPr>
          <a:spLocks noChangeArrowheads="1"/>
        </xdr:cNvSpPr>
      </xdr:nvSpPr>
      <xdr:spPr bwMode="auto">
        <a:xfrm rot="10800000">
          <a:off x="2575034" y="4526017"/>
          <a:ext cx="97971" cy="153761"/>
        </a:xfrm>
        <a:prstGeom prst="upArrow">
          <a:avLst>
            <a:gd name="adj1" fmla="val 50000"/>
            <a:gd name="adj2" fmla="val 72917"/>
          </a:avLst>
        </a:prstGeom>
        <a:solidFill>
          <a:srgbClr val="CFE7F5"/>
        </a:solidFill>
        <a:ln w="9525">
          <a:solidFill>
            <a:srgbClr val="808080"/>
          </a:solidFill>
          <a:round/>
          <a:headEnd/>
          <a:tailEnd/>
        </a:ln>
      </xdr:spPr>
    </xdr:sp>
    <xdr:clientData/>
  </xdr:twoCellAnchor>
  <xdr:twoCellAnchor>
    <xdr:from>
      <xdr:col>2</xdr:col>
      <xdr:colOff>387569</xdr:colOff>
      <xdr:row>28</xdr:row>
      <xdr:rowOff>26276</xdr:rowOff>
    </xdr:from>
    <xdr:to>
      <xdr:col>2</xdr:col>
      <xdr:colOff>768569</xdr:colOff>
      <xdr:row>29</xdr:row>
      <xdr:rowOff>83847</xdr:rowOff>
    </xdr:to>
    <xdr:sp macro="" textlink="">
      <xdr:nvSpPr>
        <xdr:cNvPr id="38" name="AutoShape 126">
          <a:extLst>
            <a:ext uri="{FF2B5EF4-FFF2-40B4-BE49-F238E27FC236}">
              <a16:creationId xmlns:a16="http://schemas.microsoft.com/office/drawing/2014/main" id="{00000000-0008-0000-0100-000026000000}"/>
            </a:ext>
          </a:extLst>
        </xdr:cNvPr>
        <xdr:cNvSpPr>
          <a:spLocks noChangeArrowheads="1"/>
        </xdr:cNvSpPr>
      </xdr:nvSpPr>
      <xdr:spPr bwMode="auto">
        <a:xfrm>
          <a:off x="2430517" y="4709948"/>
          <a:ext cx="381000" cy="221796"/>
        </a:xfrm>
        <a:prstGeom prst="diamond">
          <a:avLst/>
        </a:prstGeom>
        <a:solidFill>
          <a:srgbClr val="99FFCC"/>
        </a:solidFill>
        <a:ln w="9525">
          <a:solidFill>
            <a:srgbClr val="808080"/>
          </a:solidFill>
          <a:round/>
          <a:headEnd/>
          <a:tailEnd/>
        </a:ln>
      </xdr:spPr>
      <xdr:txBody>
        <a:bodyPr vertOverflow="clip" wrap="square" lIns="0" tIns="0" rIns="0" bIns="0" anchor="ctr"/>
        <a:lstStyle/>
        <a:p>
          <a:pPr algn="ctr" rtl="0">
            <a:defRPr sz="1000"/>
          </a:pPr>
          <a:r>
            <a:rPr lang="sl-SI" sz="600" b="1" i="0" u="none" strike="noStrike" baseline="0">
              <a:solidFill>
                <a:srgbClr val="000000"/>
              </a:solidFill>
              <a:latin typeface="Times New Roman"/>
              <a:cs typeface="Times New Roman"/>
            </a:rPr>
            <a:t>o.k</a:t>
          </a:r>
          <a:r>
            <a:rPr lang="sl-SI" sz="800" b="1" i="0" u="none" strike="noStrike" baseline="0">
              <a:solidFill>
                <a:srgbClr val="000000"/>
              </a:solidFill>
              <a:latin typeface="Times New Roman"/>
              <a:cs typeface="Times New Roman"/>
            </a:rPr>
            <a:t>.</a:t>
          </a:r>
        </a:p>
      </xdr:txBody>
    </xdr:sp>
    <xdr:clientData/>
  </xdr:twoCellAnchor>
  <xdr:twoCellAnchor>
    <xdr:from>
      <xdr:col>2</xdr:col>
      <xdr:colOff>532086</xdr:colOff>
      <xdr:row>29</xdr:row>
      <xdr:rowOff>105103</xdr:rowOff>
    </xdr:from>
    <xdr:to>
      <xdr:col>2</xdr:col>
      <xdr:colOff>630057</xdr:colOff>
      <xdr:row>30</xdr:row>
      <xdr:rowOff>94640</xdr:rowOff>
    </xdr:to>
    <xdr:sp macro="" textlink="">
      <xdr:nvSpPr>
        <xdr:cNvPr id="39" name="AutoShape 150">
          <a:extLst>
            <a:ext uri="{FF2B5EF4-FFF2-40B4-BE49-F238E27FC236}">
              <a16:creationId xmlns:a16="http://schemas.microsoft.com/office/drawing/2014/main" id="{00000000-0008-0000-0100-000027000000}"/>
            </a:ext>
          </a:extLst>
        </xdr:cNvPr>
        <xdr:cNvSpPr>
          <a:spLocks noChangeArrowheads="1"/>
        </xdr:cNvSpPr>
      </xdr:nvSpPr>
      <xdr:spPr bwMode="auto">
        <a:xfrm rot="10800000">
          <a:off x="2575034" y="4953000"/>
          <a:ext cx="97971" cy="153761"/>
        </a:xfrm>
        <a:prstGeom prst="upArrow">
          <a:avLst>
            <a:gd name="adj1" fmla="val 50000"/>
            <a:gd name="adj2" fmla="val 72917"/>
          </a:avLst>
        </a:prstGeom>
        <a:solidFill>
          <a:srgbClr val="CFE7F5"/>
        </a:solidFill>
        <a:ln w="9525">
          <a:solidFill>
            <a:srgbClr val="808080"/>
          </a:solidFill>
          <a:round/>
          <a:headEnd/>
          <a:tailEnd/>
        </a:ln>
      </xdr:spPr>
    </xdr:sp>
    <xdr:clientData/>
  </xdr:twoCellAnchor>
  <xdr:twoCellAnchor>
    <xdr:from>
      <xdr:col>1</xdr:col>
      <xdr:colOff>505810</xdr:colOff>
      <xdr:row>28</xdr:row>
      <xdr:rowOff>91966</xdr:rowOff>
    </xdr:from>
    <xdr:to>
      <xdr:col>2</xdr:col>
      <xdr:colOff>350126</xdr:colOff>
      <xdr:row>29</xdr:row>
      <xdr:rowOff>24351</xdr:rowOff>
    </xdr:to>
    <xdr:sp macro="" textlink="">
      <xdr:nvSpPr>
        <xdr:cNvPr id="40" name="AutoShape 130">
          <a:extLst>
            <a:ext uri="{FF2B5EF4-FFF2-40B4-BE49-F238E27FC236}">
              <a16:creationId xmlns:a16="http://schemas.microsoft.com/office/drawing/2014/main" id="{00000000-0008-0000-0100-000028000000}"/>
            </a:ext>
          </a:extLst>
        </xdr:cNvPr>
        <xdr:cNvSpPr>
          <a:spLocks noChangeArrowheads="1"/>
        </xdr:cNvSpPr>
      </xdr:nvSpPr>
      <xdr:spPr bwMode="auto">
        <a:xfrm>
          <a:off x="1688224" y="4775638"/>
          <a:ext cx="704850" cy="96610"/>
        </a:xfrm>
        <a:prstGeom prst="leftArrow">
          <a:avLst>
            <a:gd name="adj1" fmla="val 50000"/>
            <a:gd name="adj2" fmla="val 185000"/>
          </a:avLst>
        </a:prstGeom>
        <a:solidFill>
          <a:srgbClr val="FF6600"/>
        </a:solidFill>
        <a:ln w="9525">
          <a:solidFill>
            <a:srgbClr val="808080"/>
          </a:solidFill>
          <a:round/>
          <a:headEnd/>
          <a:tailEnd/>
        </a:ln>
      </xdr:spPr>
    </xdr:sp>
    <xdr:clientData/>
  </xdr:twoCellAnchor>
  <xdr:twoCellAnchor>
    <xdr:from>
      <xdr:col>1</xdr:col>
      <xdr:colOff>19707</xdr:colOff>
      <xdr:row>28</xdr:row>
      <xdr:rowOff>65689</xdr:rowOff>
    </xdr:from>
    <xdr:to>
      <xdr:col>1</xdr:col>
      <xdr:colOff>438807</xdr:colOff>
      <xdr:row>29</xdr:row>
      <xdr:rowOff>56163</xdr:rowOff>
    </xdr:to>
    <xdr:sp macro="" textlink="">
      <xdr:nvSpPr>
        <xdr:cNvPr id="41" name="Oval 19">
          <a:extLst>
            <a:ext uri="{FF2B5EF4-FFF2-40B4-BE49-F238E27FC236}">
              <a16:creationId xmlns:a16="http://schemas.microsoft.com/office/drawing/2014/main" id="{00000000-0008-0000-0100-000029000000}"/>
            </a:ext>
          </a:extLst>
        </xdr:cNvPr>
        <xdr:cNvSpPr>
          <a:spLocks noChangeArrowheads="1"/>
        </xdr:cNvSpPr>
      </xdr:nvSpPr>
      <xdr:spPr bwMode="auto">
        <a:xfrm>
          <a:off x="1202121" y="4749361"/>
          <a:ext cx="419100" cy="154699"/>
        </a:xfrm>
        <a:prstGeom prst="ellipse">
          <a:avLst/>
        </a:prstGeom>
        <a:solidFill>
          <a:srgbClr val="CFE7F5"/>
        </a:solidFill>
        <a:ln w="9525">
          <a:solidFill>
            <a:srgbClr val="808080"/>
          </a:solidFill>
          <a:round/>
          <a:headEnd/>
          <a:tailEnd/>
        </a:ln>
      </xdr:spPr>
    </xdr:sp>
    <xdr:clientData/>
  </xdr:twoCellAnchor>
  <xdr:twoCellAnchor>
    <xdr:from>
      <xdr:col>0</xdr:col>
      <xdr:colOff>446690</xdr:colOff>
      <xdr:row>28</xdr:row>
      <xdr:rowOff>91966</xdr:rowOff>
    </xdr:from>
    <xdr:to>
      <xdr:col>0</xdr:col>
      <xdr:colOff>1151540</xdr:colOff>
      <xdr:row>29</xdr:row>
      <xdr:rowOff>24351</xdr:rowOff>
    </xdr:to>
    <xdr:sp macro="" textlink="">
      <xdr:nvSpPr>
        <xdr:cNvPr id="42" name="AutoShape 130">
          <a:extLst>
            <a:ext uri="{FF2B5EF4-FFF2-40B4-BE49-F238E27FC236}">
              <a16:creationId xmlns:a16="http://schemas.microsoft.com/office/drawing/2014/main" id="{00000000-0008-0000-0100-00002A000000}"/>
            </a:ext>
          </a:extLst>
        </xdr:cNvPr>
        <xdr:cNvSpPr>
          <a:spLocks noChangeArrowheads="1"/>
        </xdr:cNvSpPr>
      </xdr:nvSpPr>
      <xdr:spPr bwMode="auto">
        <a:xfrm>
          <a:off x="446690" y="4775638"/>
          <a:ext cx="704850" cy="96610"/>
        </a:xfrm>
        <a:prstGeom prst="leftArrow">
          <a:avLst>
            <a:gd name="adj1" fmla="val 50000"/>
            <a:gd name="adj2" fmla="val 185000"/>
          </a:avLst>
        </a:prstGeom>
        <a:solidFill>
          <a:srgbClr val="FF6600"/>
        </a:solidFill>
        <a:ln w="9525">
          <a:solidFill>
            <a:srgbClr val="808080"/>
          </a:solidFill>
          <a:round/>
          <a:headEnd/>
          <a:tailEnd/>
        </a:ln>
      </xdr:spPr>
    </xdr:sp>
    <xdr:clientData/>
  </xdr:twoCellAnchor>
  <xdr:twoCellAnchor>
    <xdr:from>
      <xdr:col>1</xdr:col>
      <xdr:colOff>670034</xdr:colOff>
      <xdr:row>24</xdr:row>
      <xdr:rowOff>6569</xdr:rowOff>
    </xdr:from>
    <xdr:to>
      <xdr:col>2</xdr:col>
      <xdr:colOff>1400175</xdr:colOff>
      <xdr:row>26</xdr:row>
      <xdr:rowOff>138042</xdr:rowOff>
    </xdr:to>
    <xdr:sp macro="" textlink="">
      <xdr:nvSpPr>
        <xdr:cNvPr id="44" name="Rectangle 141">
          <a:extLst>
            <a:ext uri="{FF2B5EF4-FFF2-40B4-BE49-F238E27FC236}">
              <a16:creationId xmlns:a16="http://schemas.microsoft.com/office/drawing/2014/main" id="{00000000-0008-0000-0100-00002C000000}"/>
            </a:ext>
          </a:extLst>
        </xdr:cNvPr>
        <xdr:cNvSpPr>
          <a:spLocks noChangeArrowheads="1"/>
        </xdr:cNvSpPr>
      </xdr:nvSpPr>
      <xdr:spPr bwMode="auto">
        <a:xfrm>
          <a:off x="1852448" y="4033345"/>
          <a:ext cx="1590675" cy="459921"/>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005 – Die Casting and Cutting</a:t>
          </a:r>
        </a:p>
      </xdr:txBody>
    </xdr:sp>
    <xdr:clientData/>
  </xdr:twoCellAnchor>
  <xdr:twoCellAnchor>
    <xdr:from>
      <xdr:col>1</xdr:col>
      <xdr:colOff>670034</xdr:colOff>
      <xdr:row>30</xdr:row>
      <xdr:rowOff>124810</xdr:rowOff>
    </xdr:from>
    <xdr:to>
      <xdr:col>2</xdr:col>
      <xdr:colOff>1381125</xdr:colOff>
      <xdr:row>33</xdr:row>
      <xdr:rowOff>83895</xdr:rowOff>
    </xdr:to>
    <xdr:sp macro="" textlink="">
      <xdr:nvSpPr>
        <xdr:cNvPr id="45" name="Rectangle 140">
          <a:extLst>
            <a:ext uri="{FF2B5EF4-FFF2-40B4-BE49-F238E27FC236}">
              <a16:creationId xmlns:a16="http://schemas.microsoft.com/office/drawing/2014/main" id="{00000000-0008-0000-0100-00002D000000}"/>
            </a:ext>
          </a:extLst>
        </xdr:cNvPr>
        <xdr:cNvSpPr>
          <a:spLocks noChangeArrowheads="1"/>
        </xdr:cNvSpPr>
      </xdr:nvSpPr>
      <xdr:spPr bwMode="auto">
        <a:xfrm>
          <a:off x="1852448" y="5136931"/>
          <a:ext cx="1571625" cy="451757"/>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010 – Hole calibration and griding</a:t>
          </a:r>
        </a:p>
      </xdr:txBody>
    </xdr:sp>
    <xdr:clientData/>
  </xdr:twoCellAnchor>
  <xdr:twoCellAnchor>
    <xdr:from>
      <xdr:col>2</xdr:col>
      <xdr:colOff>532086</xdr:colOff>
      <xdr:row>33</xdr:row>
      <xdr:rowOff>105104</xdr:rowOff>
    </xdr:from>
    <xdr:to>
      <xdr:col>2</xdr:col>
      <xdr:colOff>630057</xdr:colOff>
      <xdr:row>34</xdr:row>
      <xdr:rowOff>94641</xdr:rowOff>
    </xdr:to>
    <xdr:sp macro="" textlink="">
      <xdr:nvSpPr>
        <xdr:cNvPr id="46" name="AutoShape 150">
          <a:extLst>
            <a:ext uri="{FF2B5EF4-FFF2-40B4-BE49-F238E27FC236}">
              <a16:creationId xmlns:a16="http://schemas.microsoft.com/office/drawing/2014/main" id="{00000000-0008-0000-0100-00002E000000}"/>
            </a:ext>
          </a:extLst>
        </xdr:cNvPr>
        <xdr:cNvSpPr>
          <a:spLocks noChangeArrowheads="1"/>
        </xdr:cNvSpPr>
      </xdr:nvSpPr>
      <xdr:spPr bwMode="auto">
        <a:xfrm rot="10800000">
          <a:off x="2575034" y="5609897"/>
          <a:ext cx="97971" cy="153761"/>
        </a:xfrm>
        <a:prstGeom prst="upArrow">
          <a:avLst>
            <a:gd name="adj1" fmla="val 50000"/>
            <a:gd name="adj2" fmla="val 72917"/>
          </a:avLst>
        </a:prstGeom>
        <a:solidFill>
          <a:srgbClr val="CFE7F5"/>
        </a:solidFill>
        <a:ln w="9525">
          <a:solidFill>
            <a:srgbClr val="808080"/>
          </a:solidFill>
          <a:round/>
          <a:headEnd/>
          <a:tailEnd/>
        </a:ln>
      </xdr:spPr>
    </xdr:sp>
    <xdr:clientData/>
  </xdr:twoCellAnchor>
  <xdr:twoCellAnchor>
    <xdr:from>
      <xdr:col>2</xdr:col>
      <xdr:colOff>387569</xdr:colOff>
      <xdr:row>34</xdr:row>
      <xdr:rowOff>124811</xdr:rowOff>
    </xdr:from>
    <xdr:to>
      <xdr:col>2</xdr:col>
      <xdr:colOff>768569</xdr:colOff>
      <xdr:row>36</xdr:row>
      <xdr:rowOff>18158</xdr:rowOff>
    </xdr:to>
    <xdr:sp macro="" textlink="">
      <xdr:nvSpPr>
        <xdr:cNvPr id="47" name="AutoShape 126">
          <a:extLst>
            <a:ext uri="{FF2B5EF4-FFF2-40B4-BE49-F238E27FC236}">
              <a16:creationId xmlns:a16="http://schemas.microsoft.com/office/drawing/2014/main" id="{00000000-0008-0000-0100-00002F000000}"/>
            </a:ext>
          </a:extLst>
        </xdr:cNvPr>
        <xdr:cNvSpPr>
          <a:spLocks noChangeArrowheads="1"/>
        </xdr:cNvSpPr>
      </xdr:nvSpPr>
      <xdr:spPr bwMode="auto">
        <a:xfrm>
          <a:off x="2430517" y="5793828"/>
          <a:ext cx="381000" cy="221796"/>
        </a:xfrm>
        <a:prstGeom prst="diamond">
          <a:avLst/>
        </a:prstGeom>
        <a:solidFill>
          <a:srgbClr val="99FFCC"/>
        </a:solidFill>
        <a:ln w="9525">
          <a:solidFill>
            <a:srgbClr val="808080"/>
          </a:solidFill>
          <a:round/>
          <a:headEnd/>
          <a:tailEnd/>
        </a:ln>
      </xdr:spPr>
      <xdr:txBody>
        <a:bodyPr vertOverflow="clip" wrap="square" lIns="0" tIns="0" rIns="0" bIns="0" anchor="ctr"/>
        <a:lstStyle/>
        <a:p>
          <a:pPr algn="ctr" rtl="0">
            <a:defRPr sz="1000"/>
          </a:pPr>
          <a:r>
            <a:rPr lang="sl-SI" sz="600" b="1" i="0" u="none" strike="noStrike" baseline="0">
              <a:solidFill>
                <a:srgbClr val="000000"/>
              </a:solidFill>
              <a:latin typeface="Times New Roman"/>
              <a:cs typeface="Times New Roman"/>
            </a:rPr>
            <a:t>o.k</a:t>
          </a:r>
          <a:r>
            <a:rPr lang="sl-SI" sz="800" b="1" i="0" u="none" strike="noStrike" baseline="0">
              <a:solidFill>
                <a:srgbClr val="000000"/>
              </a:solidFill>
              <a:latin typeface="Times New Roman"/>
              <a:cs typeface="Times New Roman"/>
            </a:rPr>
            <a:t>.</a:t>
          </a:r>
        </a:p>
      </xdr:txBody>
    </xdr:sp>
    <xdr:clientData/>
  </xdr:twoCellAnchor>
  <xdr:twoCellAnchor>
    <xdr:from>
      <xdr:col>2</xdr:col>
      <xdr:colOff>532086</xdr:colOff>
      <xdr:row>36</xdr:row>
      <xdr:rowOff>39414</xdr:rowOff>
    </xdr:from>
    <xdr:to>
      <xdr:col>2</xdr:col>
      <xdr:colOff>630057</xdr:colOff>
      <xdr:row>37</xdr:row>
      <xdr:rowOff>28951</xdr:rowOff>
    </xdr:to>
    <xdr:sp macro="" textlink="">
      <xdr:nvSpPr>
        <xdr:cNvPr id="48" name="AutoShape 150">
          <a:extLst>
            <a:ext uri="{FF2B5EF4-FFF2-40B4-BE49-F238E27FC236}">
              <a16:creationId xmlns:a16="http://schemas.microsoft.com/office/drawing/2014/main" id="{00000000-0008-0000-0100-000030000000}"/>
            </a:ext>
          </a:extLst>
        </xdr:cNvPr>
        <xdr:cNvSpPr>
          <a:spLocks noChangeArrowheads="1"/>
        </xdr:cNvSpPr>
      </xdr:nvSpPr>
      <xdr:spPr bwMode="auto">
        <a:xfrm rot="10800000">
          <a:off x="2575034" y="6036880"/>
          <a:ext cx="97971" cy="153761"/>
        </a:xfrm>
        <a:prstGeom prst="upArrow">
          <a:avLst>
            <a:gd name="adj1" fmla="val 50000"/>
            <a:gd name="adj2" fmla="val 72917"/>
          </a:avLst>
        </a:prstGeom>
        <a:solidFill>
          <a:srgbClr val="CFE7F5"/>
        </a:solidFill>
        <a:ln w="9525">
          <a:solidFill>
            <a:srgbClr val="808080"/>
          </a:solidFill>
          <a:round/>
          <a:headEnd/>
          <a:tailEnd/>
        </a:ln>
      </xdr:spPr>
    </xdr:sp>
    <xdr:clientData/>
  </xdr:twoCellAnchor>
  <xdr:twoCellAnchor>
    <xdr:from>
      <xdr:col>1</xdr:col>
      <xdr:colOff>505810</xdr:colOff>
      <xdr:row>35</xdr:row>
      <xdr:rowOff>26277</xdr:rowOff>
    </xdr:from>
    <xdr:to>
      <xdr:col>2</xdr:col>
      <xdr:colOff>350126</xdr:colOff>
      <xdr:row>35</xdr:row>
      <xdr:rowOff>122887</xdr:rowOff>
    </xdr:to>
    <xdr:sp macro="" textlink="">
      <xdr:nvSpPr>
        <xdr:cNvPr id="49" name="AutoShape 130">
          <a:extLst>
            <a:ext uri="{FF2B5EF4-FFF2-40B4-BE49-F238E27FC236}">
              <a16:creationId xmlns:a16="http://schemas.microsoft.com/office/drawing/2014/main" id="{00000000-0008-0000-0100-000031000000}"/>
            </a:ext>
          </a:extLst>
        </xdr:cNvPr>
        <xdr:cNvSpPr>
          <a:spLocks noChangeArrowheads="1"/>
        </xdr:cNvSpPr>
      </xdr:nvSpPr>
      <xdr:spPr bwMode="auto">
        <a:xfrm>
          <a:off x="1688224" y="5859518"/>
          <a:ext cx="704850" cy="96610"/>
        </a:xfrm>
        <a:prstGeom prst="leftArrow">
          <a:avLst>
            <a:gd name="adj1" fmla="val 50000"/>
            <a:gd name="adj2" fmla="val 185000"/>
          </a:avLst>
        </a:prstGeom>
        <a:solidFill>
          <a:srgbClr val="FF6600"/>
        </a:solidFill>
        <a:ln w="9525">
          <a:solidFill>
            <a:srgbClr val="808080"/>
          </a:solidFill>
          <a:round/>
          <a:headEnd/>
          <a:tailEnd/>
        </a:ln>
      </xdr:spPr>
    </xdr:sp>
    <xdr:clientData/>
  </xdr:twoCellAnchor>
  <xdr:twoCellAnchor>
    <xdr:from>
      <xdr:col>1</xdr:col>
      <xdr:colOff>19707</xdr:colOff>
      <xdr:row>34</xdr:row>
      <xdr:rowOff>164224</xdr:rowOff>
    </xdr:from>
    <xdr:to>
      <xdr:col>1</xdr:col>
      <xdr:colOff>438807</xdr:colOff>
      <xdr:row>35</xdr:row>
      <xdr:rowOff>154699</xdr:rowOff>
    </xdr:to>
    <xdr:sp macro="" textlink="">
      <xdr:nvSpPr>
        <xdr:cNvPr id="50" name="Oval 19">
          <a:extLst>
            <a:ext uri="{FF2B5EF4-FFF2-40B4-BE49-F238E27FC236}">
              <a16:creationId xmlns:a16="http://schemas.microsoft.com/office/drawing/2014/main" id="{00000000-0008-0000-0100-000032000000}"/>
            </a:ext>
          </a:extLst>
        </xdr:cNvPr>
        <xdr:cNvSpPr>
          <a:spLocks noChangeArrowheads="1"/>
        </xdr:cNvSpPr>
      </xdr:nvSpPr>
      <xdr:spPr bwMode="auto">
        <a:xfrm>
          <a:off x="1202121" y="5833241"/>
          <a:ext cx="419100" cy="154699"/>
        </a:xfrm>
        <a:prstGeom prst="ellipse">
          <a:avLst/>
        </a:prstGeom>
        <a:solidFill>
          <a:srgbClr val="CFE7F5"/>
        </a:solidFill>
        <a:ln w="9525">
          <a:solidFill>
            <a:srgbClr val="808080"/>
          </a:solidFill>
          <a:round/>
          <a:headEnd/>
          <a:tailEnd/>
        </a:ln>
      </xdr:spPr>
    </xdr:sp>
    <xdr:clientData/>
  </xdr:twoCellAnchor>
  <xdr:twoCellAnchor>
    <xdr:from>
      <xdr:col>0</xdr:col>
      <xdr:colOff>446690</xdr:colOff>
      <xdr:row>35</xdr:row>
      <xdr:rowOff>26277</xdr:rowOff>
    </xdr:from>
    <xdr:to>
      <xdr:col>0</xdr:col>
      <xdr:colOff>1151540</xdr:colOff>
      <xdr:row>35</xdr:row>
      <xdr:rowOff>122887</xdr:rowOff>
    </xdr:to>
    <xdr:sp macro="" textlink="">
      <xdr:nvSpPr>
        <xdr:cNvPr id="51" name="AutoShape 130">
          <a:extLst>
            <a:ext uri="{FF2B5EF4-FFF2-40B4-BE49-F238E27FC236}">
              <a16:creationId xmlns:a16="http://schemas.microsoft.com/office/drawing/2014/main" id="{00000000-0008-0000-0100-000033000000}"/>
            </a:ext>
          </a:extLst>
        </xdr:cNvPr>
        <xdr:cNvSpPr>
          <a:spLocks noChangeArrowheads="1"/>
        </xdr:cNvSpPr>
      </xdr:nvSpPr>
      <xdr:spPr bwMode="auto">
        <a:xfrm>
          <a:off x="446690" y="5859518"/>
          <a:ext cx="704850" cy="96610"/>
        </a:xfrm>
        <a:prstGeom prst="leftArrow">
          <a:avLst>
            <a:gd name="adj1" fmla="val 50000"/>
            <a:gd name="adj2" fmla="val 185000"/>
          </a:avLst>
        </a:prstGeom>
        <a:solidFill>
          <a:srgbClr val="FF6600"/>
        </a:solidFill>
        <a:ln w="9525">
          <a:solidFill>
            <a:srgbClr val="808080"/>
          </a:solidFill>
          <a:round/>
          <a:headEnd/>
          <a:tailEnd/>
        </a:ln>
      </xdr:spPr>
    </xdr:sp>
    <xdr:clientData/>
  </xdr:twoCellAnchor>
  <xdr:twoCellAnchor>
    <xdr:from>
      <xdr:col>1</xdr:col>
      <xdr:colOff>663466</xdr:colOff>
      <xdr:row>37</xdr:row>
      <xdr:rowOff>45982</xdr:rowOff>
    </xdr:from>
    <xdr:to>
      <xdr:col>2</xdr:col>
      <xdr:colOff>1384082</xdr:colOff>
      <xdr:row>39</xdr:row>
      <xdr:rowOff>140716</xdr:rowOff>
    </xdr:to>
    <xdr:sp macro="" textlink="">
      <xdr:nvSpPr>
        <xdr:cNvPr id="53" name="Rectangle 107">
          <a:extLst>
            <a:ext uri="{FF2B5EF4-FFF2-40B4-BE49-F238E27FC236}">
              <a16:creationId xmlns:a16="http://schemas.microsoft.com/office/drawing/2014/main" id="{00000000-0008-0000-0100-000035000000}"/>
            </a:ext>
          </a:extLst>
        </xdr:cNvPr>
        <xdr:cNvSpPr>
          <a:spLocks noChangeArrowheads="1"/>
        </xdr:cNvSpPr>
      </xdr:nvSpPr>
      <xdr:spPr bwMode="auto">
        <a:xfrm>
          <a:off x="1845880" y="6207672"/>
          <a:ext cx="1581150" cy="423182"/>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015 – Cross height control</a:t>
          </a:r>
        </a:p>
      </xdr:txBody>
    </xdr:sp>
    <xdr:clientData/>
  </xdr:twoCellAnchor>
  <xdr:twoCellAnchor>
    <xdr:from>
      <xdr:col>2</xdr:col>
      <xdr:colOff>532086</xdr:colOff>
      <xdr:row>39</xdr:row>
      <xdr:rowOff>157655</xdr:rowOff>
    </xdr:from>
    <xdr:to>
      <xdr:col>2</xdr:col>
      <xdr:colOff>630057</xdr:colOff>
      <xdr:row>40</xdr:row>
      <xdr:rowOff>147192</xdr:rowOff>
    </xdr:to>
    <xdr:sp macro="" textlink="">
      <xdr:nvSpPr>
        <xdr:cNvPr id="54" name="AutoShape 150">
          <a:extLst>
            <a:ext uri="{FF2B5EF4-FFF2-40B4-BE49-F238E27FC236}">
              <a16:creationId xmlns:a16="http://schemas.microsoft.com/office/drawing/2014/main" id="{00000000-0008-0000-0100-000036000000}"/>
            </a:ext>
          </a:extLst>
        </xdr:cNvPr>
        <xdr:cNvSpPr>
          <a:spLocks noChangeArrowheads="1"/>
        </xdr:cNvSpPr>
      </xdr:nvSpPr>
      <xdr:spPr bwMode="auto">
        <a:xfrm rot="10800000">
          <a:off x="2575034" y="6647793"/>
          <a:ext cx="97971" cy="153761"/>
        </a:xfrm>
        <a:prstGeom prst="upArrow">
          <a:avLst>
            <a:gd name="adj1" fmla="val 50000"/>
            <a:gd name="adj2" fmla="val 72917"/>
          </a:avLst>
        </a:prstGeom>
        <a:solidFill>
          <a:srgbClr val="CFE7F5"/>
        </a:solidFill>
        <a:ln w="9525">
          <a:solidFill>
            <a:srgbClr val="808080"/>
          </a:solidFill>
          <a:round/>
          <a:headEnd/>
          <a:tailEnd/>
        </a:ln>
      </xdr:spPr>
    </xdr:sp>
    <xdr:clientData/>
  </xdr:twoCellAnchor>
  <xdr:twoCellAnchor>
    <xdr:from>
      <xdr:col>2</xdr:col>
      <xdr:colOff>387569</xdr:colOff>
      <xdr:row>41</xdr:row>
      <xdr:rowOff>13138</xdr:rowOff>
    </xdr:from>
    <xdr:to>
      <xdr:col>2</xdr:col>
      <xdr:colOff>768569</xdr:colOff>
      <xdr:row>42</xdr:row>
      <xdr:rowOff>70710</xdr:rowOff>
    </xdr:to>
    <xdr:sp macro="" textlink="">
      <xdr:nvSpPr>
        <xdr:cNvPr id="55" name="AutoShape 126">
          <a:extLst>
            <a:ext uri="{FF2B5EF4-FFF2-40B4-BE49-F238E27FC236}">
              <a16:creationId xmlns:a16="http://schemas.microsoft.com/office/drawing/2014/main" id="{00000000-0008-0000-0100-000037000000}"/>
            </a:ext>
          </a:extLst>
        </xdr:cNvPr>
        <xdr:cNvSpPr>
          <a:spLocks noChangeArrowheads="1"/>
        </xdr:cNvSpPr>
      </xdr:nvSpPr>
      <xdr:spPr bwMode="auto">
        <a:xfrm>
          <a:off x="2430517" y="6831724"/>
          <a:ext cx="381000" cy="221796"/>
        </a:xfrm>
        <a:prstGeom prst="diamond">
          <a:avLst/>
        </a:prstGeom>
        <a:solidFill>
          <a:srgbClr val="99FFCC"/>
        </a:solidFill>
        <a:ln w="9525">
          <a:solidFill>
            <a:srgbClr val="808080"/>
          </a:solidFill>
          <a:round/>
          <a:headEnd/>
          <a:tailEnd/>
        </a:ln>
      </xdr:spPr>
      <xdr:txBody>
        <a:bodyPr vertOverflow="clip" wrap="square" lIns="0" tIns="0" rIns="0" bIns="0" anchor="ctr"/>
        <a:lstStyle/>
        <a:p>
          <a:pPr algn="ctr" rtl="0">
            <a:defRPr sz="1000"/>
          </a:pPr>
          <a:r>
            <a:rPr lang="sl-SI" sz="600" b="1" i="0" u="none" strike="noStrike" baseline="0">
              <a:solidFill>
                <a:srgbClr val="000000"/>
              </a:solidFill>
              <a:latin typeface="Times New Roman"/>
              <a:cs typeface="Times New Roman"/>
            </a:rPr>
            <a:t>o.k</a:t>
          </a:r>
          <a:r>
            <a:rPr lang="sl-SI" sz="800" b="1" i="0" u="none" strike="noStrike" baseline="0">
              <a:solidFill>
                <a:srgbClr val="000000"/>
              </a:solidFill>
              <a:latin typeface="Times New Roman"/>
              <a:cs typeface="Times New Roman"/>
            </a:rPr>
            <a:t>.</a:t>
          </a:r>
        </a:p>
      </xdr:txBody>
    </xdr:sp>
    <xdr:clientData/>
  </xdr:twoCellAnchor>
  <xdr:twoCellAnchor>
    <xdr:from>
      <xdr:col>2</xdr:col>
      <xdr:colOff>532086</xdr:colOff>
      <xdr:row>42</xdr:row>
      <xdr:rowOff>91966</xdr:rowOff>
    </xdr:from>
    <xdr:to>
      <xdr:col>2</xdr:col>
      <xdr:colOff>630057</xdr:colOff>
      <xdr:row>43</xdr:row>
      <xdr:rowOff>81503</xdr:rowOff>
    </xdr:to>
    <xdr:sp macro="" textlink="">
      <xdr:nvSpPr>
        <xdr:cNvPr id="56" name="AutoShape 150">
          <a:extLst>
            <a:ext uri="{FF2B5EF4-FFF2-40B4-BE49-F238E27FC236}">
              <a16:creationId xmlns:a16="http://schemas.microsoft.com/office/drawing/2014/main" id="{00000000-0008-0000-0100-000038000000}"/>
            </a:ext>
          </a:extLst>
        </xdr:cNvPr>
        <xdr:cNvSpPr>
          <a:spLocks noChangeArrowheads="1"/>
        </xdr:cNvSpPr>
      </xdr:nvSpPr>
      <xdr:spPr bwMode="auto">
        <a:xfrm rot="10800000">
          <a:off x="2575034" y="7074776"/>
          <a:ext cx="97971" cy="153761"/>
        </a:xfrm>
        <a:prstGeom prst="upArrow">
          <a:avLst>
            <a:gd name="adj1" fmla="val 50000"/>
            <a:gd name="adj2" fmla="val 72917"/>
          </a:avLst>
        </a:prstGeom>
        <a:solidFill>
          <a:srgbClr val="CFE7F5"/>
        </a:solidFill>
        <a:ln w="9525">
          <a:solidFill>
            <a:srgbClr val="808080"/>
          </a:solidFill>
          <a:round/>
          <a:headEnd/>
          <a:tailEnd/>
        </a:ln>
      </xdr:spPr>
    </xdr:sp>
    <xdr:clientData/>
  </xdr:twoCellAnchor>
  <xdr:twoCellAnchor>
    <xdr:from>
      <xdr:col>1</xdr:col>
      <xdr:colOff>505810</xdr:colOff>
      <xdr:row>41</xdr:row>
      <xdr:rowOff>78828</xdr:rowOff>
    </xdr:from>
    <xdr:to>
      <xdr:col>2</xdr:col>
      <xdr:colOff>350126</xdr:colOff>
      <xdr:row>42</xdr:row>
      <xdr:rowOff>11214</xdr:rowOff>
    </xdr:to>
    <xdr:sp macro="" textlink="">
      <xdr:nvSpPr>
        <xdr:cNvPr id="57" name="AutoShape 130">
          <a:extLst>
            <a:ext uri="{FF2B5EF4-FFF2-40B4-BE49-F238E27FC236}">
              <a16:creationId xmlns:a16="http://schemas.microsoft.com/office/drawing/2014/main" id="{00000000-0008-0000-0100-000039000000}"/>
            </a:ext>
          </a:extLst>
        </xdr:cNvPr>
        <xdr:cNvSpPr>
          <a:spLocks noChangeArrowheads="1"/>
        </xdr:cNvSpPr>
      </xdr:nvSpPr>
      <xdr:spPr bwMode="auto">
        <a:xfrm>
          <a:off x="1688224" y="6897414"/>
          <a:ext cx="704850" cy="96610"/>
        </a:xfrm>
        <a:prstGeom prst="leftArrow">
          <a:avLst>
            <a:gd name="adj1" fmla="val 50000"/>
            <a:gd name="adj2" fmla="val 185000"/>
          </a:avLst>
        </a:prstGeom>
        <a:solidFill>
          <a:srgbClr val="FF6600"/>
        </a:solidFill>
        <a:ln w="9525">
          <a:solidFill>
            <a:srgbClr val="808080"/>
          </a:solidFill>
          <a:round/>
          <a:headEnd/>
          <a:tailEnd/>
        </a:ln>
      </xdr:spPr>
    </xdr:sp>
    <xdr:clientData/>
  </xdr:twoCellAnchor>
  <xdr:twoCellAnchor>
    <xdr:from>
      <xdr:col>1</xdr:col>
      <xdr:colOff>19707</xdr:colOff>
      <xdr:row>41</xdr:row>
      <xdr:rowOff>52551</xdr:rowOff>
    </xdr:from>
    <xdr:to>
      <xdr:col>1</xdr:col>
      <xdr:colOff>438807</xdr:colOff>
      <xdr:row>42</xdr:row>
      <xdr:rowOff>43026</xdr:rowOff>
    </xdr:to>
    <xdr:sp macro="" textlink="">
      <xdr:nvSpPr>
        <xdr:cNvPr id="58" name="Oval 19">
          <a:extLst>
            <a:ext uri="{FF2B5EF4-FFF2-40B4-BE49-F238E27FC236}">
              <a16:creationId xmlns:a16="http://schemas.microsoft.com/office/drawing/2014/main" id="{00000000-0008-0000-0100-00003A000000}"/>
            </a:ext>
          </a:extLst>
        </xdr:cNvPr>
        <xdr:cNvSpPr>
          <a:spLocks noChangeArrowheads="1"/>
        </xdr:cNvSpPr>
      </xdr:nvSpPr>
      <xdr:spPr bwMode="auto">
        <a:xfrm>
          <a:off x="1202121" y="6871137"/>
          <a:ext cx="419100" cy="154699"/>
        </a:xfrm>
        <a:prstGeom prst="ellipse">
          <a:avLst/>
        </a:prstGeom>
        <a:solidFill>
          <a:srgbClr val="CFE7F5"/>
        </a:solidFill>
        <a:ln w="9525">
          <a:solidFill>
            <a:srgbClr val="808080"/>
          </a:solidFill>
          <a:round/>
          <a:headEnd/>
          <a:tailEnd/>
        </a:ln>
      </xdr:spPr>
    </xdr:sp>
    <xdr:clientData/>
  </xdr:twoCellAnchor>
  <xdr:twoCellAnchor>
    <xdr:from>
      <xdr:col>0</xdr:col>
      <xdr:colOff>446690</xdr:colOff>
      <xdr:row>41</xdr:row>
      <xdr:rowOff>78828</xdr:rowOff>
    </xdr:from>
    <xdr:to>
      <xdr:col>0</xdr:col>
      <xdr:colOff>1151540</xdr:colOff>
      <xdr:row>42</xdr:row>
      <xdr:rowOff>11214</xdr:rowOff>
    </xdr:to>
    <xdr:sp macro="" textlink="">
      <xdr:nvSpPr>
        <xdr:cNvPr id="59" name="AutoShape 130">
          <a:extLst>
            <a:ext uri="{FF2B5EF4-FFF2-40B4-BE49-F238E27FC236}">
              <a16:creationId xmlns:a16="http://schemas.microsoft.com/office/drawing/2014/main" id="{00000000-0008-0000-0100-00003B000000}"/>
            </a:ext>
          </a:extLst>
        </xdr:cNvPr>
        <xdr:cNvSpPr>
          <a:spLocks noChangeArrowheads="1"/>
        </xdr:cNvSpPr>
      </xdr:nvSpPr>
      <xdr:spPr bwMode="auto">
        <a:xfrm>
          <a:off x="446690" y="6897414"/>
          <a:ext cx="704850" cy="96610"/>
        </a:xfrm>
        <a:prstGeom prst="leftArrow">
          <a:avLst>
            <a:gd name="adj1" fmla="val 50000"/>
            <a:gd name="adj2" fmla="val 185000"/>
          </a:avLst>
        </a:prstGeom>
        <a:solidFill>
          <a:srgbClr val="FF6600"/>
        </a:solidFill>
        <a:ln w="9525">
          <a:solidFill>
            <a:srgbClr val="808080"/>
          </a:solidFill>
          <a:round/>
          <a:headEnd/>
          <a:tailEnd/>
        </a:ln>
      </xdr:spPr>
    </xdr:sp>
    <xdr:clientData/>
  </xdr:twoCellAnchor>
  <xdr:twoCellAnchor>
    <xdr:from>
      <xdr:col>2</xdr:col>
      <xdr:colOff>821121</xdr:colOff>
      <xdr:row>41</xdr:row>
      <xdr:rowOff>82826</xdr:rowOff>
    </xdr:from>
    <xdr:to>
      <xdr:col>2</xdr:col>
      <xdr:colOff>1924707</xdr:colOff>
      <xdr:row>42</xdr:row>
      <xdr:rowOff>19707</xdr:rowOff>
    </xdr:to>
    <xdr:sp macro="" textlink="">
      <xdr:nvSpPr>
        <xdr:cNvPr id="60" name="AutoShape 17">
          <a:extLst>
            <a:ext uri="{FF2B5EF4-FFF2-40B4-BE49-F238E27FC236}">
              <a16:creationId xmlns:a16="http://schemas.microsoft.com/office/drawing/2014/main" id="{00000000-0008-0000-0100-00003C000000}"/>
            </a:ext>
          </a:extLst>
        </xdr:cNvPr>
        <xdr:cNvSpPr>
          <a:spLocks noChangeArrowheads="1"/>
        </xdr:cNvSpPr>
      </xdr:nvSpPr>
      <xdr:spPr bwMode="auto">
        <a:xfrm>
          <a:off x="2864069" y="6901412"/>
          <a:ext cx="1103586" cy="101105"/>
        </a:xfrm>
        <a:prstGeom prst="rightArrow">
          <a:avLst>
            <a:gd name="adj1" fmla="val 50000"/>
            <a:gd name="adj2" fmla="val 75000"/>
          </a:avLst>
        </a:prstGeom>
        <a:solidFill>
          <a:srgbClr val="CFE7F5"/>
        </a:solidFill>
        <a:ln w="9525">
          <a:solidFill>
            <a:srgbClr val="808080"/>
          </a:solidFill>
          <a:round/>
          <a:headEnd/>
          <a:tailEnd/>
        </a:ln>
      </xdr:spPr>
    </xdr:sp>
    <xdr:clientData/>
  </xdr:twoCellAnchor>
  <xdr:twoCellAnchor>
    <xdr:from>
      <xdr:col>1</xdr:col>
      <xdr:colOff>240424</xdr:colOff>
      <xdr:row>25</xdr:row>
      <xdr:rowOff>45326</xdr:rowOff>
    </xdr:from>
    <xdr:to>
      <xdr:col>1</xdr:col>
      <xdr:colOff>602374</xdr:colOff>
      <xdr:row>25</xdr:row>
      <xdr:rowOff>140576</xdr:rowOff>
    </xdr:to>
    <xdr:sp macro="" textlink="">
      <xdr:nvSpPr>
        <xdr:cNvPr id="68" name="AutoShape 2">
          <a:extLst>
            <a:ext uri="{FF2B5EF4-FFF2-40B4-BE49-F238E27FC236}">
              <a16:creationId xmlns:a16="http://schemas.microsoft.com/office/drawing/2014/main" id="{00000000-0008-0000-0100-000044000000}"/>
            </a:ext>
          </a:extLst>
        </xdr:cNvPr>
        <xdr:cNvSpPr>
          <a:spLocks noChangeArrowheads="1"/>
        </xdr:cNvSpPr>
      </xdr:nvSpPr>
      <xdr:spPr bwMode="auto">
        <a:xfrm>
          <a:off x="1422838" y="4236326"/>
          <a:ext cx="361950" cy="95250"/>
        </a:xfrm>
        <a:prstGeom prst="leftArrow">
          <a:avLst>
            <a:gd name="adj1" fmla="val 50000"/>
            <a:gd name="adj2" fmla="val 95000"/>
          </a:avLst>
        </a:prstGeom>
        <a:solidFill>
          <a:srgbClr val="CFE7F5"/>
        </a:solidFill>
        <a:ln w="9525">
          <a:solidFill>
            <a:srgbClr val="808080"/>
          </a:solidFill>
          <a:round/>
          <a:headEnd/>
          <a:tailEnd/>
        </a:ln>
      </xdr:spPr>
    </xdr:sp>
    <xdr:clientData/>
  </xdr:twoCellAnchor>
  <xdr:twoCellAnchor>
    <xdr:from>
      <xdr:col>0</xdr:col>
      <xdr:colOff>735724</xdr:colOff>
      <xdr:row>24</xdr:row>
      <xdr:rowOff>26276</xdr:rowOff>
    </xdr:from>
    <xdr:to>
      <xdr:col>1</xdr:col>
      <xdr:colOff>100270</xdr:colOff>
      <xdr:row>26</xdr:row>
      <xdr:rowOff>143298</xdr:rowOff>
    </xdr:to>
    <xdr:sp macro="" textlink="">
      <xdr:nvSpPr>
        <xdr:cNvPr id="69" name="AutoShape 121">
          <a:extLst>
            <a:ext uri="{FF2B5EF4-FFF2-40B4-BE49-F238E27FC236}">
              <a16:creationId xmlns:a16="http://schemas.microsoft.com/office/drawing/2014/main" id="{00000000-0008-0000-0100-000045000000}"/>
            </a:ext>
          </a:extLst>
        </xdr:cNvPr>
        <xdr:cNvSpPr>
          <a:spLocks noChangeArrowheads="1"/>
        </xdr:cNvSpPr>
      </xdr:nvSpPr>
      <xdr:spPr bwMode="auto">
        <a:xfrm>
          <a:off x="735724" y="4053052"/>
          <a:ext cx="546960" cy="445470"/>
        </a:xfrm>
        <a:prstGeom prst="flowChartPunchedTape">
          <a:avLst/>
        </a:prstGeom>
        <a:solidFill>
          <a:srgbClr val="CFE7F5"/>
        </a:solidFill>
        <a:ln w="9525">
          <a:solidFill>
            <a:srgbClr val="808080"/>
          </a:solidFill>
          <a:round/>
          <a:headEnd/>
          <a:tailEnd/>
        </a:ln>
      </xdr:spPr>
      <xdr:txBody>
        <a:bodyPr vertOverflow="clip" wrap="square" lIns="0" tIns="0" rIns="0" bIns="0" anchor="t"/>
        <a:lstStyle/>
        <a:p>
          <a:pPr algn="l" rtl="0">
            <a:defRPr sz="1000"/>
          </a:pPr>
          <a:r>
            <a:rPr lang="sl-SI" sz="800" b="0" i="0" u="none" strike="noStrike" baseline="0">
              <a:solidFill>
                <a:srgbClr val="000000"/>
              </a:solidFill>
              <a:latin typeface="Times New Roman"/>
              <a:cs typeface="Times New Roman"/>
            </a:rPr>
            <a:t>Control plan:</a:t>
          </a:r>
          <a:endParaRPr lang="sl-SI" sz="1200" b="0" i="0" u="none" strike="noStrike" baseline="0">
            <a:solidFill>
              <a:srgbClr val="000000"/>
            </a:solidFill>
            <a:latin typeface="Times New Roman"/>
            <a:cs typeface="Times New Roman"/>
          </a:endParaRPr>
        </a:p>
        <a:p>
          <a:pPr algn="l" rtl="0">
            <a:defRPr sz="1000"/>
          </a:pPr>
          <a:r>
            <a:rPr lang="sl-SI" sz="800" b="0" i="0" u="none" strike="noStrike" baseline="0">
              <a:solidFill>
                <a:srgbClr val="000000"/>
              </a:solidFill>
              <a:latin typeface="Times New Roman"/>
              <a:cs typeface="Times New Roman"/>
            </a:rPr>
            <a:t>Nr : 1x</a:t>
          </a:r>
        </a:p>
      </xdr:txBody>
    </xdr:sp>
    <xdr:clientData/>
  </xdr:twoCellAnchor>
  <xdr:twoCellAnchor>
    <xdr:from>
      <xdr:col>1</xdr:col>
      <xdr:colOff>253562</xdr:colOff>
      <xdr:row>32</xdr:row>
      <xdr:rowOff>5912</xdr:rowOff>
    </xdr:from>
    <xdr:to>
      <xdr:col>1</xdr:col>
      <xdr:colOff>615512</xdr:colOff>
      <xdr:row>32</xdr:row>
      <xdr:rowOff>101162</xdr:rowOff>
    </xdr:to>
    <xdr:sp macro="" textlink="">
      <xdr:nvSpPr>
        <xdr:cNvPr id="70" name="AutoShape 2">
          <a:extLst>
            <a:ext uri="{FF2B5EF4-FFF2-40B4-BE49-F238E27FC236}">
              <a16:creationId xmlns:a16="http://schemas.microsoft.com/office/drawing/2014/main" id="{00000000-0008-0000-0100-000046000000}"/>
            </a:ext>
          </a:extLst>
        </xdr:cNvPr>
        <xdr:cNvSpPr>
          <a:spLocks noChangeArrowheads="1"/>
        </xdr:cNvSpPr>
      </xdr:nvSpPr>
      <xdr:spPr bwMode="auto">
        <a:xfrm>
          <a:off x="1435976" y="5346481"/>
          <a:ext cx="361950" cy="95250"/>
        </a:xfrm>
        <a:prstGeom prst="leftArrow">
          <a:avLst>
            <a:gd name="adj1" fmla="val 50000"/>
            <a:gd name="adj2" fmla="val 95000"/>
          </a:avLst>
        </a:prstGeom>
        <a:solidFill>
          <a:srgbClr val="CFE7F5"/>
        </a:solidFill>
        <a:ln w="9525">
          <a:solidFill>
            <a:srgbClr val="808080"/>
          </a:solidFill>
          <a:round/>
          <a:headEnd/>
          <a:tailEnd/>
        </a:ln>
      </xdr:spPr>
    </xdr:sp>
    <xdr:clientData/>
  </xdr:twoCellAnchor>
  <xdr:twoCellAnchor>
    <xdr:from>
      <xdr:col>0</xdr:col>
      <xdr:colOff>748862</xdr:colOff>
      <xdr:row>30</xdr:row>
      <xdr:rowOff>151086</xdr:rowOff>
    </xdr:from>
    <xdr:to>
      <xdr:col>1</xdr:col>
      <xdr:colOff>113408</xdr:colOff>
      <xdr:row>33</xdr:row>
      <xdr:rowOff>103884</xdr:rowOff>
    </xdr:to>
    <xdr:sp macro="" textlink="">
      <xdr:nvSpPr>
        <xdr:cNvPr id="71" name="AutoShape 121">
          <a:extLst>
            <a:ext uri="{FF2B5EF4-FFF2-40B4-BE49-F238E27FC236}">
              <a16:creationId xmlns:a16="http://schemas.microsoft.com/office/drawing/2014/main" id="{00000000-0008-0000-0100-000047000000}"/>
            </a:ext>
          </a:extLst>
        </xdr:cNvPr>
        <xdr:cNvSpPr>
          <a:spLocks noChangeArrowheads="1"/>
        </xdr:cNvSpPr>
      </xdr:nvSpPr>
      <xdr:spPr bwMode="auto">
        <a:xfrm>
          <a:off x="748862" y="5163207"/>
          <a:ext cx="546960" cy="445470"/>
        </a:xfrm>
        <a:prstGeom prst="flowChartPunchedTape">
          <a:avLst/>
        </a:prstGeom>
        <a:solidFill>
          <a:srgbClr val="CFE7F5"/>
        </a:solidFill>
        <a:ln w="9525">
          <a:solidFill>
            <a:srgbClr val="808080"/>
          </a:solidFill>
          <a:round/>
          <a:headEnd/>
          <a:tailEnd/>
        </a:ln>
      </xdr:spPr>
      <xdr:txBody>
        <a:bodyPr vertOverflow="clip" wrap="square" lIns="0" tIns="0" rIns="0" bIns="0" anchor="t"/>
        <a:lstStyle/>
        <a:p>
          <a:pPr algn="l" rtl="0">
            <a:defRPr sz="1000"/>
          </a:pPr>
          <a:r>
            <a:rPr lang="sl-SI" sz="800" b="0" i="0" u="none" strike="noStrike" baseline="0">
              <a:solidFill>
                <a:srgbClr val="000000"/>
              </a:solidFill>
              <a:latin typeface="Times New Roman"/>
              <a:cs typeface="Times New Roman"/>
            </a:rPr>
            <a:t>Control plan:</a:t>
          </a:r>
          <a:endParaRPr lang="sl-SI" sz="1200" b="0" i="0" u="none" strike="noStrike" baseline="0">
            <a:solidFill>
              <a:srgbClr val="000000"/>
            </a:solidFill>
            <a:latin typeface="Times New Roman"/>
            <a:cs typeface="Times New Roman"/>
          </a:endParaRPr>
        </a:p>
        <a:p>
          <a:pPr algn="l" rtl="0">
            <a:defRPr sz="1000"/>
          </a:pPr>
          <a:r>
            <a:rPr lang="sl-SI" sz="800" b="0" i="0" u="none" strike="noStrike" baseline="0">
              <a:solidFill>
                <a:srgbClr val="000000"/>
              </a:solidFill>
              <a:latin typeface="Times New Roman"/>
              <a:cs typeface="Times New Roman"/>
            </a:rPr>
            <a:t>Nr : 2x</a:t>
          </a:r>
        </a:p>
      </xdr:txBody>
    </xdr:sp>
    <xdr:clientData/>
  </xdr:twoCellAnchor>
  <xdr:twoCellAnchor>
    <xdr:from>
      <xdr:col>1</xdr:col>
      <xdr:colOff>246993</xdr:colOff>
      <xdr:row>38</xdr:row>
      <xdr:rowOff>51895</xdr:rowOff>
    </xdr:from>
    <xdr:to>
      <xdr:col>1</xdr:col>
      <xdr:colOff>608943</xdr:colOff>
      <xdr:row>38</xdr:row>
      <xdr:rowOff>147145</xdr:rowOff>
    </xdr:to>
    <xdr:sp macro="" textlink="">
      <xdr:nvSpPr>
        <xdr:cNvPr id="72" name="AutoShape 2">
          <a:extLst>
            <a:ext uri="{FF2B5EF4-FFF2-40B4-BE49-F238E27FC236}">
              <a16:creationId xmlns:a16="http://schemas.microsoft.com/office/drawing/2014/main" id="{00000000-0008-0000-0100-000048000000}"/>
            </a:ext>
          </a:extLst>
        </xdr:cNvPr>
        <xdr:cNvSpPr>
          <a:spLocks noChangeArrowheads="1"/>
        </xdr:cNvSpPr>
      </xdr:nvSpPr>
      <xdr:spPr bwMode="auto">
        <a:xfrm>
          <a:off x="1429407" y="6377809"/>
          <a:ext cx="361950" cy="95250"/>
        </a:xfrm>
        <a:prstGeom prst="leftArrow">
          <a:avLst>
            <a:gd name="adj1" fmla="val 50000"/>
            <a:gd name="adj2" fmla="val 95000"/>
          </a:avLst>
        </a:prstGeom>
        <a:solidFill>
          <a:srgbClr val="CFE7F5"/>
        </a:solidFill>
        <a:ln w="9525">
          <a:solidFill>
            <a:srgbClr val="808080"/>
          </a:solidFill>
          <a:round/>
          <a:headEnd/>
          <a:tailEnd/>
        </a:ln>
      </xdr:spPr>
    </xdr:sp>
    <xdr:clientData/>
  </xdr:twoCellAnchor>
  <xdr:twoCellAnchor>
    <xdr:from>
      <xdr:col>0</xdr:col>
      <xdr:colOff>742293</xdr:colOff>
      <xdr:row>37</xdr:row>
      <xdr:rowOff>32845</xdr:rowOff>
    </xdr:from>
    <xdr:to>
      <xdr:col>1</xdr:col>
      <xdr:colOff>106839</xdr:colOff>
      <xdr:row>39</xdr:row>
      <xdr:rowOff>149867</xdr:rowOff>
    </xdr:to>
    <xdr:sp macro="" textlink="">
      <xdr:nvSpPr>
        <xdr:cNvPr id="73" name="AutoShape 121">
          <a:extLst>
            <a:ext uri="{FF2B5EF4-FFF2-40B4-BE49-F238E27FC236}">
              <a16:creationId xmlns:a16="http://schemas.microsoft.com/office/drawing/2014/main" id="{00000000-0008-0000-0100-000049000000}"/>
            </a:ext>
          </a:extLst>
        </xdr:cNvPr>
        <xdr:cNvSpPr>
          <a:spLocks noChangeArrowheads="1"/>
        </xdr:cNvSpPr>
      </xdr:nvSpPr>
      <xdr:spPr bwMode="auto">
        <a:xfrm>
          <a:off x="742293" y="6194535"/>
          <a:ext cx="546960" cy="445470"/>
        </a:xfrm>
        <a:prstGeom prst="flowChartPunchedTape">
          <a:avLst/>
        </a:prstGeom>
        <a:solidFill>
          <a:srgbClr val="CFE7F5"/>
        </a:solidFill>
        <a:ln w="9525">
          <a:solidFill>
            <a:srgbClr val="808080"/>
          </a:solidFill>
          <a:round/>
          <a:headEnd/>
          <a:tailEnd/>
        </a:ln>
      </xdr:spPr>
      <xdr:txBody>
        <a:bodyPr vertOverflow="clip" wrap="square" lIns="0" tIns="0" rIns="0" bIns="0" anchor="t"/>
        <a:lstStyle/>
        <a:p>
          <a:pPr algn="l" rtl="0">
            <a:defRPr sz="1000"/>
          </a:pPr>
          <a:r>
            <a:rPr lang="sl-SI" sz="800" b="0" i="0" u="none" strike="noStrike" baseline="0">
              <a:solidFill>
                <a:srgbClr val="000000"/>
              </a:solidFill>
              <a:latin typeface="Times New Roman"/>
              <a:cs typeface="Times New Roman"/>
            </a:rPr>
            <a:t>Control plan:</a:t>
          </a:r>
          <a:endParaRPr lang="sl-SI" sz="1200" b="0" i="0" u="none" strike="noStrike" baseline="0">
            <a:solidFill>
              <a:srgbClr val="000000"/>
            </a:solidFill>
            <a:latin typeface="Times New Roman"/>
            <a:cs typeface="Times New Roman"/>
          </a:endParaRPr>
        </a:p>
        <a:p>
          <a:pPr algn="l" rtl="0">
            <a:defRPr sz="1000"/>
          </a:pPr>
          <a:r>
            <a:rPr lang="sl-SI" sz="800" b="0" i="0" u="none" strike="noStrike" baseline="0">
              <a:solidFill>
                <a:srgbClr val="000000"/>
              </a:solidFill>
              <a:latin typeface="Times New Roman"/>
              <a:cs typeface="Times New Roman"/>
            </a:rPr>
            <a:t>Nr : 3x</a:t>
          </a:r>
        </a:p>
      </xdr:txBody>
    </xdr:sp>
    <xdr:clientData/>
  </xdr:twoCellAnchor>
  <xdr:twoCellAnchor>
    <xdr:from>
      <xdr:col>1</xdr:col>
      <xdr:colOff>643758</xdr:colOff>
      <xdr:row>43</xdr:row>
      <xdr:rowOff>111673</xdr:rowOff>
    </xdr:from>
    <xdr:to>
      <xdr:col>2</xdr:col>
      <xdr:colOff>1364374</xdr:colOff>
      <xdr:row>46</xdr:row>
      <xdr:rowOff>99332</xdr:rowOff>
    </xdr:to>
    <xdr:sp macro="" textlink="">
      <xdr:nvSpPr>
        <xdr:cNvPr id="74" name="Rectangle 82">
          <a:extLst>
            <a:ext uri="{FF2B5EF4-FFF2-40B4-BE49-F238E27FC236}">
              <a16:creationId xmlns:a16="http://schemas.microsoft.com/office/drawing/2014/main" id="{00000000-0008-0000-0100-00004A000000}"/>
            </a:ext>
          </a:extLst>
        </xdr:cNvPr>
        <xdr:cNvSpPr>
          <a:spLocks noChangeArrowheads="1"/>
        </xdr:cNvSpPr>
      </xdr:nvSpPr>
      <xdr:spPr bwMode="auto">
        <a:xfrm>
          <a:off x="1826172" y="7258707"/>
          <a:ext cx="1581150" cy="480332"/>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020 – 100% Visual control and packaging</a:t>
          </a:r>
        </a:p>
      </xdr:txBody>
    </xdr:sp>
    <xdr:clientData/>
  </xdr:twoCellAnchor>
  <xdr:twoCellAnchor>
    <xdr:from>
      <xdr:col>1</xdr:col>
      <xdr:colOff>624052</xdr:colOff>
      <xdr:row>49</xdr:row>
      <xdr:rowOff>26275</xdr:rowOff>
    </xdr:from>
    <xdr:to>
      <xdr:col>2</xdr:col>
      <xdr:colOff>1370313</xdr:colOff>
      <xdr:row>52</xdr:row>
      <xdr:rowOff>39413</xdr:rowOff>
    </xdr:to>
    <xdr:sp macro="" textlink="">
      <xdr:nvSpPr>
        <xdr:cNvPr id="82" name="Rectangle 92">
          <a:extLst>
            <a:ext uri="{FF2B5EF4-FFF2-40B4-BE49-F238E27FC236}">
              <a16:creationId xmlns:a16="http://schemas.microsoft.com/office/drawing/2014/main" id="{00000000-0008-0000-0100-000052000000}"/>
            </a:ext>
          </a:extLst>
        </xdr:cNvPr>
        <xdr:cNvSpPr>
          <a:spLocks noChangeArrowheads="1"/>
        </xdr:cNvSpPr>
      </xdr:nvSpPr>
      <xdr:spPr bwMode="auto">
        <a:xfrm>
          <a:off x="1806466" y="8158654"/>
          <a:ext cx="1606795" cy="505811"/>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 025 -  Delivery</a:t>
          </a:r>
        </a:p>
      </xdr:txBody>
    </xdr:sp>
    <xdr:clientData/>
  </xdr:twoCellAnchor>
  <xdr:twoCellAnchor>
    <xdr:from>
      <xdr:col>2</xdr:col>
      <xdr:colOff>1414260</xdr:colOff>
      <xdr:row>50</xdr:row>
      <xdr:rowOff>124038</xdr:rowOff>
    </xdr:from>
    <xdr:to>
      <xdr:col>2</xdr:col>
      <xdr:colOff>1860176</xdr:colOff>
      <xdr:row>51</xdr:row>
      <xdr:rowOff>89647</xdr:rowOff>
    </xdr:to>
    <xdr:sp macro="" textlink="">
      <xdr:nvSpPr>
        <xdr:cNvPr id="83" name="AutoShape 17">
          <a:extLst>
            <a:ext uri="{FF2B5EF4-FFF2-40B4-BE49-F238E27FC236}">
              <a16:creationId xmlns:a16="http://schemas.microsoft.com/office/drawing/2014/main" id="{00000000-0008-0000-0100-000053000000}"/>
            </a:ext>
          </a:extLst>
        </xdr:cNvPr>
        <xdr:cNvSpPr>
          <a:spLocks noChangeArrowheads="1"/>
        </xdr:cNvSpPr>
      </xdr:nvSpPr>
      <xdr:spPr bwMode="auto">
        <a:xfrm>
          <a:off x="3453731" y="8080214"/>
          <a:ext cx="445916" cy="122492"/>
        </a:xfrm>
        <a:prstGeom prst="rightArrow">
          <a:avLst>
            <a:gd name="adj1" fmla="val 50000"/>
            <a:gd name="adj2" fmla="val 75000"/>
          </a:avLst>
        </a:prstGeom>
        <a:solidFill>
          <a:srgbClr val="CFE7F5"/>
        </a:solidFill>
        <a:ln w="9525">
          <a:solidFill>
            <a:srgbClr val="808080"/>
          </a:solidFill>
          <a:round/>
          <a:headEnd/>
          <a:tailEnd/>
        </a:ln>
      </xdr:spPr>
    </xdr:sp>
    <xdr:clientData/>
  </xdr:twoCellAnchor>
  <xdr:twoCellAnchor>
    <xdr:from>
      <xdr:col>2</xdr:col>
      <xdr:colOff>1443860</xdr:colOff>
      <xdr:row>44</xdr:row>
      <xdr:rowOff>126453</xdr:rowOff>
    </xdr:from>
    <xdr:to>
      <xdr:col>2</xdr:col>
      <xdr:colOff>1634360</xdr:colOff>
      <xdr:row>45</xdr:row>
      <xdr:rowOff>78828</xdr:rowOff>
    </xdr:to>
    <xdr:sp macro="" textlink="">
      <xdr:nvSpPr>
        <xdr:cNvPr id="11286" name="AutoShape 22">
          <a:extLst>
            <a:ext uri="{FF2B5EF4-FFF2-40B4-BE49-F238E27FC236}">
              <a16:creationId xmlns:a16="http://schemas.microsoft.com/office/drawing/2014/main" id="{00000000-0008-0000-0100-0000162C0000}"/>
            </a:ext>
          </a:extLst>
        </xdr:cNvPr>
        <xdr:cNvSpPr>
          <a:spLocks noChangeArrowheads="1"/>
        </xdr:cNvSpPr>
      </xdr:nvSpPr>
      <xdr:spPr bwMode="auto">
        <a:xfrm>
          <a:off x="3486808" y="7437712"/>
          <a:ext cx="190500" cy="116599"/>
        </a:xfrm>
        <a:prstGeom prst="leftArrow">
          <a:avLst>
            <a:gd name="adj1" fmla="val 50000"/>
            <a:gd name="adj2" fmla="val 41667"/>
          </a:avLst>
        </a:prstGeom>
        <a:solidFill>
          <a:srgbClr val="CFE7F5"/>
        </a:solidFill>
        <a:ln w="9525">
          <a:solidFill>
            <a:srgbClr val="80808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1450429</xdr:colOff>
      <xdr:row>38</xdr:row>
      <xdr:rowOff>21349</xdr:rowOff>
    </xdr:from>
    <xdr:to>
      <xdr:col>2</xdr:col>
      <xdr:colOff>1640929</xdr:colOff>
      <xdr:row>38</xdr:row>
      <xdr:rowOff>137948</xdr:rowOff>
    </xdr:to>
    <xdr:sp macro="" textlink="">
      <xdr:nvSpPr>
        <xdr:cNvPr id="11287" name="AutoShape 23">
          <a:extLst>
            <a:ext uri="{FF2B5EF4-FFF2-40B4-BE49-F238E27FC236}">
              <a16:creationId xmlns:a16="http://schemas.microsoft.com/office/drawing/2014/main" id="{00000000-0008-0000-0100-0000172C0000}"/>
            </a:ext>
          </a:extLst>
        </xdr:cNvPr>
        <xdr:cNvSpPr>
          <a:spLocks noChangeArrowheads="1"/>
        </xdr:cNvSpPr>
      </xdr:nvSpPr>
      <xdr:spPr bwMode="auto">
        <a:xfrm>
          <a:off x="3493377" y="6347263"/>
          <a:ext cx="190500" cy="116599"/>
        </a:xfrm>
        <a:prstGeom prst="leftArrow">
          <a:avLst>
            <a:gd name="adj1" fmla="val 50000"/>
            <a:gd name="adj2" fmla="val 41667"/>
          </a:avLst>
        </a:prstGeom>
        <a:solidFill>
          <a:srgbClr val="CFE7F5"/>
        </a:solidFill>
        <a:ln w="9525">
          <a:solidFill>
            <a:srgbClr val="80808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1430720</xdr:colOff>
      <xdr:row>31</xdr:row>
      <xdr:rowOff>119884</xdr:rowOff>
    </xdr:from>
    <xdr:to>
      <xdr:col>2</xdr:col>
      <xdr:colOff>1621220</xdr:colOff>
      <xdr:row>32</xdr:row>
      <xdr:rowOff>72259</xdr:rowOff>
    </xdr:to>
    <xdr:sp macro="" textlink="">
      <xdr:nvSpPr>
        <xdr:cNvPr id="11288" name="AutoShape 24">
          <a:extLst>
            <a:ext uri="{FF2B5EF4-FFF2-40B4-BE49-F238E27FC236}">
              <a16:creationId xmlns:a16="http://schemas.microsoft.com/office/drawing/2014/main" id="{00000000-0008-0000-0100-0000182C0000}"/>
            </a:ext>
          </a:extLst>
        </xdr:cNvPr>
        <xdr:cNvSpPr>
          <a:spLocks noChangeArrowheads="1"/>
        </xdr:cNvSpPr>
      </xdr:nvSpPr>
      <xdr:spPr bwMode="auto">
        <a:xfrm>
          <a:off x="3473668" y="5296229"/>
          <a:ext cx="190500" cy="116599"/>
        </a:xfrm>
        <a:prstGeom prst="leftArrow">
          <a:avLst>
            <a:gd name="adj1" fmla="val 50000"/>
            <a:gd name="adj2" fmla="val 41667"/>
          </a:avLst>
        </a:prstGeom>
        <a:solidFill>
          <a:srgbClr val="CFE7F5"/>
        </a:solidFill>
        <a:ln w="9525">
          <a:solidFill>
            <a:srgbClr val="80808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1430721</xdr:colOff>
      <xdr:row>24</xdr:row>
      <xdr:rowOff>159298</xdr:rowOff>
    </xdr:from>
    <xdr:to>
      <xdr:col>2</xdr:col>
      <xdr:colOff>1621221</xdr:colOff>
      <xdr:row>25</xdr:row>
      <xdr:rowOff>111673</xdr:rowOff>
    </xdr:to>
    <xdr:sp macro="" textlink="">
      <xdr:nvSpPr>
        <xdr:cNvPr id="11289" name="AutoShape 25">
          <a:extLst>
            <a:ext uri="{FF2B5EF4-FFF2-40B4-BE49-F238E27FC236}">
              <a16:creationId xmlns:a16="http://schemas.microsoft.com/office/drawing/2014/main" id="{00000000-0008-0000-0100-0000192C0000}"/>
            </a:ext>
          </a:extLst>
        </xdr:cNvPr>
        <xdr:cNvSpPr>
          <a:spLocks noChangeArrowheads="1"/>
        </xdr:cNvSpPr>
      </xdr:nvSpPr>
      <xdr:spPr bwMode="auto">
        <a:xfrm>
          <a:off x="3473669" y="4186074"/>
          <a:ext cx="190500" cy="116599"/>
        </a:xfrm>
        <a:prstGeom prst="leftArrow">
          <a:avLst>
            <a:gd name="adj1" fmla="val 50000"/>
            <a:gd name="adj2" fmla="val 41667"/>
          </a:avLst>
        </a:prstGeom>
        <a:solidFill>
          <a:srgbClr val="CFE7F5"/>
        </a:solidFill>
        <a:ln w="9525">
          <a:solidFill>
            <a:srgbClr val="80808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1430721</xdr:colOff>
      <xdr:row>21</xdr:row>
      <xdr:rowOff>14780</xdr:rowOff>
    </xdr:from>
    <xdr:to>
      <xdr:col>2</xdr:col>
      <xdr:colOff>1621221</xdr:colOff>
      <xdr:row>21</xdr:row>
      <xdr:rowOff>131380</xdr:rowOff>
    </xdr:to>
    <xdr:sp macro="" textlink="">
      <xdr:nvSpPr>
        <xdr:cNvPr id="11290" name="AutoShape 26">
          <a:extLst>
            <a:ext uri="{FF2B5EF4-FFF2-40B4-BE49-F238E27FC236}">
              <a16:creationId xmlns:a16="http://schemas.microsoft.com/office/drawing/2014/main" id="{00000000-0008-0000-0100-00001A2C0000}"/>
            </a:ext>
          </a:extLst>
        </xdr:cNvPr>
        <xdr:cNvSpPr>
          <a:spLocks noChangeArrowheads="1"/>
        </xdr:cNvSpPr>
      </xdr:nvSpPr>
      <xdr:spPr bwMode="auto">
        <a:xfrm>
          <a:off x="3473669" y="3548883"/>
          <a:ext cx="190500" cy="116600"/>
        </a:xfrm>
        <a:prstGeom prst="leftArrow">
          <a:avLst>
            <a:gd name="adj1" fmla="val 50000"/>
            <a:gd name="adj2" fmla="val 41667"/>
          </a:avLst>
        </a:prstGeom>
        <a:solidFill>
          <a:srgbClr val="CFE7F5"/>
        </a:solidFill>
        <a:ln w="9525">
          <a:solidFill>
            <a:srgbClr val="80808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1642627</xdr:colOff>
      <xdr:row>13</xdr:row>
      <xdr:rowOff>126741</xdr:rowOff>
    </xdr:from>
    <xdr:to>
      <xdr:col>2</xdr:col>
      <xdr:colOff>1772478</xdr:colOff>
      <xdr:row>49</xdr:row>
      <xdr:rowOff>115956</xdr:rowOff>
    </xdr:to>
    <xdr:sp macro="" textlink="">
      <xdr:nvSpPr>
        <xdr:cNvPr id="89" name="AutoShape 150">
          <a:extLst>
            <a:ext uri="{FF2B5EF4-FFF2-40B4-BE49-F238E27FC236}">
              <a16:creationId xmlns:a16="http://schemas.microsoft.com/office/drawing/2014/main" id="{00000000-0008-0000-0100-000059000000}"/>
            </a:ext>
          </a:extLst>
        </xdr:cNvPr>
        <xdr:cNvSpPr>
          <a:spLocks noChangeArrowheads="1"/>
        </xdr:cNvSpPr>
      </xdr:nvSpPr>
      <xdr:spPr bwMode="auto">
        <a:xfrm rot="10800000">
          <a:off x="3688431" y="2363045"/>
          <a:ext cx="129851" cy="5952694"/>
        </a:xfrm>
        <a:prstGeom prst="upArrow">
          <a:avLst>
            <a:gd name="adj1" fmla="val 50000"/>
            <a:gd name="adj2" fmla="val 72917"/>
          </a:avLst>
        </a:prstGeom>
        <a:solidFill>
          <a:srgbClr val="CFE7F5"/>
        </a:solidFill>
        <a:ln w="9525">
          <a:solidFill>
            <a:srgbClr val="808080"/>
          </a:solidFill>
          <a:round/>
          <a:headEnd/>
          <a:tailEnd/>
        </a:ln>
      </xdr:spPr>
    </xdr:sp>
    <xdr:clientData/>
  </xdr:twoCellAnchor>
  <xdr:twoCellAnchor>
    <xdr:from>
      <xdr:col>2</xdr:col>
      <xdr:colOff>1449457</xdr:colOff>
      <xdr:row>49</xdr:row>
      <xdr:rowOff>74544</xdr:rowOff>
    </xdr:from>
    <xdr:to>
      <xdr:col>2</xdr:col>
      <xdr:colOff>1639957</xdr:colOff>
      <xdr:row>50</xdr:row>
      <xdr:rowOff>26919</xdr:rowOff>
    </xdr:to>
    <xdr:sp macro="" textlink="">
      <xdr:nvSpPr>
        <xdr:cNvPr id="90" name="AutoShape 22">
          <a:extLst>
            <a:ext uri="{FF2B5EF4-FFF2-40B4-BE49-F238E27FC236}">
              <a16:creationId xmlns:a16="http://schemas.microsoft.com/office/drawing/2014/main" id="{00000000-0008-0000-0100-00005A000000}"/>
            </a:ext>
          </a:extLst>
        </xdr:cNvPr>
        <xdr:cNvSpPr>
          <a:spLocks noChangeArrowheads="1"/>
        </xdr:cNvSpPr>
      </xdr:nvSpPr>
      <xdr:spPr bwMode="auto">
        <a:xfrm>
          <a:off x="3495261" y="8274327"/>
          <a:ext cx="190500" cy="118027"/>
        </a:xfrm>
        <a:prstGeom prst="leftArrow">
          <a:avLst>
            <a:gd name="adj1" fmla="val 50000"/>
            <a:gd name="adj2" fmla="val 41667"/>
          </a:avLst>
        </a:prstGeom>
        <a:solidFill>
          <a:srgbClr val="CFE7F5"/>
        </a:solidFill>
        <a:ln w="9525">
          <a:solidFill>
            <a:srgbClr val="80808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0</xdr:col>
      <xdr:colOff>310184</xdr:colOff>
      <xdr:row>17</xdr:row>
      <xdr:rowOff>66261</xdr:rowOff>
    </xdr:from>
    <xdr:to>
      <xdr:col>0</xdr:col>
      <xdr:colOff>446690</xdr:colOff>
      <xdr:row>48</xdr:row>
      <xdr:rowOff>157654</xdr:rowOff>
    </xdr:to>
    <xdr:sp macro="" textlink="">
      <xdr:nvSpPr>
        <xdr:cNvPr id="91" name="AutoShape 7">
          <a:extLst>
            <a:ext uri="{FF2B5EF4-FFF2-40B4-BE49-F238E27FC236}">
              <a16:creationId xmlns:a16="http://schemas.microsoft.com/office/drawing/2014/main" id="{00000000-0008-0000-0100-00005B000000}"/>
            </a:ext>
          </a:extLst>
        </xdr:cNvPr>
        <xdr:cNvSpPr>
          <a:spLocks noChangeArrowheads="1"/>
        </xdr:cNvSpPr>
      </xdr:nvSpPr>
      <xdr:spPr bwMode="auto">
        <a:xfrm rot="16200000">
          <a:off x="-2212734" y="5466386"/>
          <a:ext cx="5182341" cy="136506"/>
        </a:xfrm>
        <a:prstGeom prst="rightArrow">
          <a:avLst>
            <a:gd name="adj1" fmla="val 50000"/>
            <a:gd name="adj2" fmla="val 318421"/>
          </a:avLst>
        </a:prstGeom>
        <a:solidFill>
          <a:srgbClr val="FF6600"/>
        </a:solidFill>
        <a:ln w="9525">
          <a:solidFill>
            <a:srgbClr val="808080"/>
          </a:solidFill>
          <a:round/>
          <a:headEnd/>
          <a:tailEnd/>
        </a:ln>
      </xdr:spPr>
    </xdr:sp>
    <xdr:clientData/>
  </xdr:twoCellAnchor>
  <xdr:twoCellAnchor>
    <xdr:from>
      <xdr:col>1</xdr:col>
      <xdr:colOff>241852</xdr:colOff>
      <xdr:row>44</xdr:row>
      <xdr:rowOff>143289</xdr:rowOff>
    </xdr:from>
    <xdr:to>
      <xdr:col>1</xdr:col>
      <xdr:colOff>603802</xdr:colOff>
      <xdr:row>45</xdr:row>
      <xdr:rowOff>72887</xdr:rowOff>
    </xdr:to>
    <xdr:sp macro="" textlink="">
      <xdr:nvSpPr>
        <xdr:cNvPr id="93" name="AutoShape 2">
          <a:extLst>
            <a:ext uri="{FF2B5EF4-FFF2-40B4-BE49-F238E27FC236}">
              <a16:creationId xmlns:a16="http://schemas.microsoft.com/office/drawing/2014/main" id="{00000000-0008-0000-0100-00005D000000}"/>
            </a:ext>
          </a:extLst>
        </xdr:cNvPr>
        <xdr:cNvSpPr>
          <a:spLocks noChangeArrowheads="1"/>
        </xdr:cNvSpPr>
      </xdr:nvSpPr>
      <xdr:spPr bwMode="auto">
        <a:xfrm>
          <a:off x="1426265" y="7514811"/>
          <a:ext cx="361950" cy="95250"/>
        </a:xfrm>
        <a:prstGeom prst="leftArrow">
          <a:avLst>
            <a:gd name="adj1" fmla="val 50000"/>
            <a:gd name="adj2" fmla="val 95000"/>
          </a:avLst>
        </a:prstGeom>
        <a:solidFill>
          <a:srgbClr val="CFE7F5"/>
        </a:solidFill>
        <a:ln w="9525">
          <a:solidFill>
            <a:srgbClr val="808080"/>
          </a:solidFill>
          <a:round/>
          <a:headEnd/>
          <a:tailEnd/>
        </a:ln>
      </xdr:spPr>
    </xdr:sp>
    <xdr:clientData/>
  </xdr:twoCellAnchor>
  <xdr:twoCellAnchor>
    <xdr:from>
      <xdr:col>0</xdr:col>
      <xdr:colOff>737152</xdr:colOff>
      <xdr:row>43</xdr:row>
      <xdr:rowOff>124239</xdr:rowOff>
    </xdr:from>
    <xdr:to>
      <xdr:col>1</xdr:col>
      <xdr:colOff>101698</xdr:colOff>
      <xdr:row>46</xdr:row>
      <xdr:rowOff>75609</xdr:rowOff>
    </xdr:to>
    <xdr:sp macro="" textlink="">
      <xdr:nvSpPr>
        <xdr:cNvPr id="94" name="AutoShape 121">
          <a:extLst>
            <a:ext uri="{FF2B5EF4-FFF2-40B4-BE49-F238E27FC236}">
              <a16:creationId xmlns:a16="http://schemas.microsoft.com/office/drawing/2014/main" id="{00000000-0008-0000-0100-00005E000000}"/>
            </a:ext>
          </a:extLst>
        </xdr:cNvPr>
        <xdr:cNvSpPr>
          <a:spLocks noChangeArrowheads="1"/>
        </xdr:cNvSpPr>
      </xdr:nvSpPr>
      <xdr:spPr bwMode="auto">
        <a:xfrm>
          <a:off x="737152" y="7330109"/>
          <a:ext cx="548959" cy="448326"/>
        </a:xfrm>
        <a:prstGeom prst="flowChartPunchedTape">
          <a:avLst/>
        </a:prstGeom>
        <a:solidFill>
          <a:srgbClr val="CFE7F5"/>
        </a:solidFill>
        <a:ln w="9525">
          <a:solidFill>
            <a:srgbClr val="808080"/>
          </a:solidFill>
          <a:round/>
          <a:headEnd/>
          <a:tailEnd/>
        </a:ln>
      </xdr:spPr>
      <xdr:txBody>
        <a:bodyPr vertOverflow="clip" wrap="square" lIns="0" tIns="0" rIns="0" bIns="0" anchor="t"/>
        <a:lstStyle/>
        <a:p>
          <a:pPr algn="l" rtl="0">
            <a:defRPr sz="1000"/>
          </a:pPr>
          <a:r>
            <a:rPr lang="sl-SI" sz="800" b="0" i="0" u="none" strike="noStrike" baseline="0">
              <a:solidFill>
                <a:srgbClr val="000000"/>
              </a:solidFill>
              <a:latin typeface="Times New Roman"/>
              <a:cs typeface="Times New Roman"/>
            </a:rPr>
            <a:t>Control plan:</a:t>
          </a:r>
          <a:endParaRPr lang="sl-SI" sz="1200" b="0" i="0" u="none" strike="noStrike" baseline="0">
            <a:solidFill>
              <a:srgbClr val="000000"/>
            </a:solidFill>
            <a:latin typeface="Times New Roman"/>
            <a:cs typeface="Times New Roman"/>
          </a:endParaRPr>
        </a:p>
        <a:p>
          <a:pPr algn="l" rtl="0">
            <a:defRPr sz="1000"/>
          </a:pPr>
          <a:r>
            <a:rPr lang="sl-SI" sz="800" b="0" i="0" u="none" strike="noStrike" baseline="0">
              <a:solidFill>
                <a:srgbClr val="000000"/>
              </a:solidFill>
              <a:latin typeface="Times New Roman"/>
              <a:cs typeface="Times New Roman"/>
            </a:rPr>
            <a:t>Nr : 4x</a:t>
          </a:r>
        </a:p>
      </xdr:txBody>
    </xdr:sp>
    <xdr:clientData/>
  </xdr:twoCellAnchor>
  <xdr:twoCellAnchor>
    <xdr:from>
      <xdr:col>2</xdr:col>
      <xdr:colOff>1918288</xdr:colOff>
      <xdr:row>13</xdr:row>
      <xdr:rowOff>139643</xdr:rowOff>
    </xdr:from>
    <xdr:to>
      <xdr:col>3</xdr:col>
      <xdr:colOff>39413</xdr:colOff>
      <xdr:row>51</xdr:row>
      <xdr:rowOff>59120</xdr:rowOff>
    </xdr:to>
    <xdr:sp macro="" textlink="">
      <xdr:nvSpPr>
        <xdr:cNvPr id="96" name="AutoShape 150">
          <a:extLst>
            <a:ext uri="{FF2B5EF4-FFF2-40B4-BE49-F238E27FC236}">
              <a16:creationId xmlns:a16="http://schemas.microsoft.com/office/drawing/2014/main" id="{00000000-0008-0000-0100-000060000000}"/>
            </a:ext>
          </a:extLst>
        </xdr:cNvPr>
        <xdr:cNvSpPr>
          <a:spLocks noChangeArrowheads="1"/>
        </xdr:cNvSpPr>
      </xdr:nvSpPr>
      <xdr:spPr bwMode="auto">
        <a:xfrm>
          <a:off x="3961236" y="2359953"/>
          <a:ext cx="137798" cy="6159995"/>
        </a:xfrm>
        <a:prstGeom prst="upArrow">
          <a:avLst>
            <a:gd name="adj1" fmla="val 50000"/>
            <a:gd name="adj2" fmla="val 72917"/>
          </a:avLst>
        </a:prstGeom>
        <a:solidFill>
          <a:srgbClr val="CFE7F5"/>
        </a:solidFill>
        <a:ln w="9525">
          <a:solidFill>
            <a:srgbClr val="808080"/>
          </a:solidFill>
          <a:round/>
          <a:headEnd/>
          <a:tailEnd/>
        </a:ln>
      </xdr:spPr>
    </xdr:sp>
    <xdr:clientData/>
  </xdr:twoCellAnchor>
  <xdr:twoCellAnchor>
    <xdr:from>
      <xdr:col>2</xdr:col>
      <xdr:colOff>807983</xdr:colOff>
      <xdr:row>35</xdr:row>
      <xdr:rowOff>26276</xdr:rowOff>
    </xdr:from>
    <xdr:to>
      <xdr:col>2</xdr:col>
      <xdr:colOff>1911569</xdr:colOff>
      <xdr:row>35</xdr:row>
      <xdr:rowOff>127381</xdr:rowOff>
    </xdr:to>
    <xdr:sp macro="" textlink="">
      <xdr:nvSpPr>
        <xdr:cNvPr id="98" name="AutoShape 17">
          <a:extLst>
            <a:ext uri="{FF2B5EF4-FFF2-40B4-BE49-F238E27FC236}">
              <a16:creationId xmlns:a16="http://schemas.microsoft.com/office/drawing/2014/main" id="{00000000-0008-0000-0100-000062000000}"/>
            </a:ext>
          </a:extLst>
        </xdr:cNvPr>
        <xdr:cNvSpPr>
          <a:spLocks noChangeArrowheads="1"/>
        </xdr:cNvSpPr>
      </xdr:nvSpPr>
      <xdr:spPr bwMode="auto">
        <a:xfrm>
          <a:off x="2850931" y="5859517"/>
          <a:ext cx="1103586" cy="101105"/>
        </a:xfrm>
        <a:prstGeom prst="rightArrow">
          <a:avLst>
            <a:gd name="adj1" fmla="val 50000"/>
            <a:gd name="adj2" fmla="val 75000"/>
          </a:avLst>
        </a:prstGeom>
        <a:solidFill>
          <a:srgbClr val="CFE7F5"/>
        </a:solidFill>
        <a:ln w="9525">
          <a:solidFill>
            <a:srgbClr val="808080"/>
          </a:solidFill>
          <a:round/>
          <a:headEnd/>
          <a:tailEnd/>
        </a:ln>
      </xdr:spPr>
    </xdr:sp>
    <xdr:clientData/>
  </xdr:twoCellAnchor>
  <xdr:twoCellAnchor>
    <xdr:from>
      <xdr:col>2</xdr:col>
      <xdr:colOff>814552</xdr:colOff>
      <xdr:row>28</xdr:row>
      <xdr:rowOff>85397</xdr:rowOff>
    </xdr:from>
    <xdr:to>
      <xdr:col>2</xdr:col>
      <xdr:colOff>1918138</xdr:colOff>
      <xdr:row>29</xdr:row>
      <xdr:rowOff>22277</xdr:rowOff>
    </xdr:to>
    <xdr:sp macro="" textlink="">
      <xdr:nvSpPr>
        <xdr:cNvPr id="99" name="AutoShape 17">
          <a:extLst>
            <a:ext uri="{FF2B5EF4-FFF2-40B4-BE49-F238E27FC236}">
              <a16:creationId xmlns:a16="http://schemas.microsoft.com/office/drawing/2014/main" id="{00000000-0008-0000-0100-000063000000}"/>
            </a:ext>
          </a:extLst>
        </xdr:cNvPr>
        <xdr:cNvSpPr>
          <a:spLocks noChangeArrowheads="1"/>
        </xdr:cNvSpPr>
      </xdr:nvSpPr>
      <xdr:spPr bwMode="auto">
        <a:xfrm>
          <a:off x="2857500" y="4769069"/>
          <a:ext cx="1103586" cy="101105"/>
        </a:xfrm>
        <a:prstGeom prst="rightArrow">
          <a:avLst>
            <a:gd name="adj1" fmla="val 50000"/>
            <a:gd name="adj2" fmla="val 75000"/>
          </a:avLst>
        </a:prstGeom>
        <a:solidFill>
          <a:srgbClr val="CFE7F5"/>
        </a:solidFill>
        <a:ln w="9525">
          <a:solidFill>
            <a:srgbClr val="808080"/>
          </a:solidFill>
          <a:round/>
          <a:headEnd/>
          <a:tailEnd/>
        </a:ln>
      </xdr:spPr>
    </xdr:sp>
    <xdr:clientData/>
  </xdr:twoCellAnchor>
  <xdr:twoCellAnchor>
    <xdr:from>
      <xdr:col>0</xdr:col>
      <xdr:colOff>367862</xdr:colOff>
      <xdr:row>49</xdr:row>
      <xdr:rowOff>6569</xdr:rowOff>
    </xdr:from>
    <xdr:to>
      <xdr:col>1</xdr:col>
      <xdr:colOff>593178</xdr:colOff>
      <xdr:row>49</xdr:row>
      <xdr:rowOff>111673</xdr:rowOff>
    </xdr:to>
    <xdr:sp macro="" textlink="">
      <xdr:nvSpPr>
        <xdr:cNvPr id="100" name="AutoShape 130">
          <a:extLst>
            <a:ext uri="{FF2B5EF4-FFF2-40B4-BE49-F238E27FC236}">
              <a16:creationId xmlns:a16="http://schemas.microsoft.com/office/drawing/2014/main" id="{00000000-0008-0000-0100-000064000000}"/>
            </a:ext>
          </a:extLst>
        </xdr:cNvPr>
        <xdr:cNvSpPr>
          <a:spLocks noChangeArrowheads="1"/>
        </xdr:cNvSpPr>
      </xdr:nvSpPr>
      <xdr:spPr bwMode="auto">
        <a:xfrm>
          <a:off x="367862" y="8138948"/>
          <a:ext cx="1407730" cy="105104"/>
        </a:xfrm>
        <a:prstGeom prst="leftArrow">
          <a:avLst>
            <a:gd name="adj1" fmla="val 50000"/>
            <a:gd name="adj2" fmla="val 185000"/>
          </a:avLst>
        </a:prstGeom>
        <a:solidFill>
          <a:srgbClr val="FF6600"/>
        </a:solidFill>
        <a:ln w="9525">
          <a:solidFill>
            <a:srgbClr val="808080"/>
          </a:solidFill>
          <a:round/>
          <a:headEnd/>
          <a:tailEnd/>
        </a:ln>
      </xdr:spPr>
    </xdr:sp>
    <xdr:clientData/>
  </xdr:twoCellAnchor>
  <xdr:twoCellAnchor>
    <xdr:from>
      <xdr:col>0</xdr:col>
      <xdr:colOff>532086</xdr:colOff>
      <xdr:row>49</xdr:row>
      <xdr:rowOff>131380</xdr:rowOff>
    </xdr:from>
    <xdr:to>
      <xdr:col>1</xdr:col>
      <xdr:colOff>232567</xdr:colOff>
      <xdr:row>52</xdr:row>
      <xdr:rowOff>15311</xdr:rowOff>
    </xdr:to>
    <xdr:sp macro="" textlink="">
      <xdr:nvSpPr>
        <xdr:cNvPr id="101" name="AutoShape 80">
          <a:extLst>
            <a:ext uri="{FF2B5EF4-FFF2-40B4-BE49-F238E27FC236}">
              <a16:creationId xmlns:a16="http://schemas.microsoft.com/office/drawing/2014/main" id="{00000000-0008-0000-0100-000065000000}"/>
            </a:ext>
          </a:extLst>
        </xdr:cNvPr>
        <xdr:cNvSpPr>
          <a:spLocks noChangeArrowheads="1"/>
        </xdr:cNvSpPr>
      </xdr:nvSpPr>
      <xdr:spPr bwMode="auto">
        <a:xfrm>
          <a:off x="532086" y="8263759"/>
          <a:ext cx="882895" cy="376604"/>
        </a:xfrm>
        <a:prstGeom prst="flowChartInputOutpu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Sending</a:t>
          </a:r>
        </a:p>
      </xdr:txBody>
    </xdr:sp>
    <xdr:clientData/>
  </xdr:twoCellAnchor>
  <xdr:twoCellAnchor>
    <xdr:from>
      <xdr:col>1</xdr:col>
      <xdr:colOff>190500</xdr:colOff>
      <xdr:row>50</xdr:row>
      <xdr:rowOff>85397</xdr:rowOff>
    </xdr:from>
    <xdr:to>
      <xdr:col>1</xdr:col>
      <xdr:colOff>591207</xdr:colOff>
      <xdr:row>51</xdr:row>
      <xdr:rowOff>13138</xdr:rowOff>
    </xdr:to>
    <xdr:sp macro="" textlink="">
      <xdr:nvSpPr>
        <xdr:cNvPr id="103" name="AutoShape 130">
          <a:extLst>
            <a:ext uri="{FF2B5EF4-FFF2-40B4-BE49-F238E27FC236}">
              <a16:creationId xmlns:a16="http://schemas.microsoft.com/office/drawing/2014/main" id="{00000000-0008-0000-0100-000067000000}"/>
            </a:ext>
          </a:extLst>
        </xdr:cNvPr>
        <xdr:cNvSpPr>
          <a:spLocks noChangeArrowheads="1"/>
        </xdr:cNvSpPr>
      </xdr:nvSpPr>
      <xdr:spPr bwMode="auto">
        <a:xfrm>
          <a:off x="1372914" y="8382000"/>
          <a:ext cx="400707" cy="91966"/>
        </a:xfrm>
        <a:prstGeom prst="leftArrow">
          <a:avLst>
            <a:gd name="adj1" fmla="val 50000"/>
            <a:gd name="adj2" fmla="val 185000"/>
          </a:avLst>
        </a:prstGeom>
        <a:solidFill>
          <a:srgbClr val="FF6600"/>
        </a:solidFill>
        <a:ln w="9525">
          <a:solidFill>
            <a:srgbClr val="808080"/>
          </a:solidFill>
          <a:round/>
          <a:headEnd/>
          <a:tailEnd/>
        </a:ln>
      </xdr:spPr>
    </xdr:sp>
    <xdr:clientData/>
  </xdr:twoCellAnchor>
  <xdr:twoCellAnchor>
    <xdr:from>
      <xdr:col>2</xdr:col>
      <xdr:colOff>65690</xdr:colOff>
      <xdr:row>27</xdr:row>
      <xdr:rowOff>111672</xdr:rowOff>
    </xdr:from>
    <xdr:to>
      <xdr:col>2</xdr:col>
      <xdr:colOff>332390</xdr:colOff>
      <xdr:row>28</xdr:row>
      <xdr:rowOff>80065</xdr:rowOff>
    </xdr:to>
    <xdr:sp macro="" textlink="">
      <xdr:nvSpPr>
        <xdr:cNvPr id="104" name="Rectangle 117">
          <a:extLst>
            <a:ext uri="{FF2B5EF4-FFF2-40B4-BE49-F238E27FC236}">
              <a16:creationId xmlns:a16="http://schemas.microsoft.com/office/drawing/2014/main" id="{00000000-0008-0000-0100-000068000000}"/>
            </a:ext>
          </a:extLst>
        </xdr:cNvPr>
        <xdr:cNvSpPr>
          <a:spLocks noChangeArrowheads="1"/>
        </xdr:cNvSpPr>
      </xdr:nvSpPr>
      <xdr:spPr bwMode="auto">
        <a:xfrm>
          <a:off x="2108638" y="4631120"/>
          <a:ext cx="266700" cy="132617"/>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000" b="0" i="0" u="none" strike="noStrike" baseline="0">
              <a:solidFill>
                <a:srgbClr val="000000"/>
              </a:solidFill>
              <a:latin typeface="Times New Roman"/>
              <a:cs typeface="Times New Roman"/>
            </a:rPr>
            <a:t>NO</a:t>
          </a:r>
        </a:p>
      </xdr:txBody>
    </xdr:sp>
    <xdr:clientData/>
  </xdr:twoCellAnchor>
  <xdr:twoCellAnchor>
    <xdr:from>
      <xdr:col>2</xdr:col>
      <xdr:colOff>65690</xdr:colOff>
      <xdr:row>34</xdr:row>
      <xdr:rowOff>52551</xdr:rowOff>
    </xdr:from>
    <xdr:to>
      <xdr:col>2</xdr:col>
      <xdr:colOff>332390</xdr:colOff>
      <xdr:row>35</xdr:row>
      <xdr:rowOff>20944</xdr:rowOff>
    </xdr:to>
    <xdr:sp macro="" textlink="">
      <xdr:nvSpPr>
        <xdr:cNvPr id="105" name="Rectangle 117">
          <a:extLst>
            <a:ext uri="{FF2B5EF4-FFF2-40B4-BE49-F238E27FC236}">
              <a16:creationId xmlns:a16="http://schemas.microsoft.com/office/drawing/2014/main" id="{00000000-0008-0000-0100-000069000000}"/>
            </a:ext>
          </a:extLst>
        </xdr:cNvPr>
        <xdr:cNvSpPr>
          <a:spLocks noChangeArrowheads="1"/>
        </xdr:cNvSpPr>
      </xdr:nvSpPr>
      <xdr:spPr bwMode="auto">
        <a:xfrm>
          <a:off x="2108638" y="5721568"/>
          <a:ext cx="266700" cy="132617"/>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000" b="0" i="0" u="none" strike="noStrike" baseline="0">
              <a:solidFill>
                <a:srgbClr val="000000"/>
              </a:solidFill>
              <a:latin typeface="Times New Roman"/>
              <a:cs typeface="Times New Roman"/>
            </a:rPr>
            <a:t>NO</a:t>
          </a:r>
        </a:p>
      </xdr:txBody>
    </xdr:sp>
    <xdr:clientData/>
  </xdr:twoCellAnchor>
  <xdr:twoCellAnchor>
    <xdr:from>
      <xdr:col>2</xdr:col>
      <xdr:colOff>65690</xdr:colOff>
      <xdr:row>40</xdr:row>
      <xdr:rowOff>91966</xdr:rowOff>
    </xdr:from>
    <xdr:to>
      <xdr:col>2</xdr:col>
      <xdr:colOff>332390</xdr:colOff>
      <xdr:row>41</xdr:row>
      <xdr:rowOff>60359</xdr:rowOff>
    </xdr:to>
    <xdr:sp macro="" textlink="">
      <xdr:nvSpPr>
        <xdr:cNvPr id="106" name="Rectangle 117">
          <a:extLst>
            <a:ext uri="{FF2B5EF4-FFF2-40B4-BE49-F238E27FC236}">
              <a16:creationId xmlns:a16="http://schemas.microsoft.com/office/drawing/2014/main" id="{00000000-0008-0000-0100-00006A000000}"/>
            </a:ext>
          </a:extLst>
        </xdr:cNvPr>
        <xdr:cNvSpPr>
          <a:spLocks noChangeArrowheads="1"/>
        </xdr:cNvSpPr>
      </xdr:nvSpPr>
      <xdr:spPr bwMode="auto">
        <a:xfrm>
          <a:off x="2108638" y="6746328"/>
          <a:ext cx="266700" cy="132617"/>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000" b="0" i="0" u="none" strike="noStrike" baseline="0">
              <a:solidFill>
                <a:srgbClr val="000000"/>
              </a:solidFill>
              <a:latin typeface="Times New Roman"/>
              <a:cs typeface="Times New Roman"/>
            </a:rPr>
            <a:t>NO</a:t>
          </a:r>
        </a:p>
      </xdr:txBody>
    </xdr:sp>
    <xdr:clientData/>
  </xdr:twoCellAnchor>
  <xdr:twoCellAnchor>
    <xdr:from>
      <xdr:col>1</xdr:col>
      <xdr:colOff>315311</xdr:colOff>
      <xdr:row>48</xdr:row>
      <xdr:rowOff>32845</xdr:rowOff>
    </xdr:from>
    <xdr:to>
      <xdr:col>1</xdr:col>
      <xdr:colOff>582011</xdr:colOff>
      <xdr:row>49</xdr:row>
      <xdr:rowOff>1238</xdr:rowOff>
    </xdr:to>
    <xdr:sp macro="" textlink="">
      <xdr:nvSpPr>
        <xdr:cNvPr id="107" name="Rectangle 117">
          <a:extLst>
            <a:ext uri="{FF2B5EF4-FFF2-40B4-BE49-F238E27FC236}">
              <a16:creationId xmlns:a16="http://schemas.microsoft.com/office/drawing/2014/main" id="{00000000-0008-0000-0100-00006B000000}"/>
            </a:ext>
          </a:extLst>
        </xdr:cNvPr>
        <xdr:cNvSpPr>
          <a:spLocks noChangeArrowheads="1"/>
        </xdr:cNvSpPr>
      </xdr:nvSpPr>
      <xdr:spPr bwMode="auto">
        <a:xfrm>
          <a:off x="1497725" y="8001000"/>
          <a:ext cx="266700" cy="132617"/>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000" b="0" i="0" u="none" strike="noStrike" baseline="0">
              <a:solidFill>
                <a:srgbClr val="000000"/>
              </a:solidFill>
              <a:latin typeface="Times New Roman"/>
              <a:cs typeface="Times New Roman"/>
            </a:rPr>
            <a:t>NO</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30042</xdr:colOff>
      <xdr:row>4</xdr:row>
      <xdr:rowOff>26376</xdr:rowOff>
    </xdr:from>
    <xdr:to>
      <xdr:col>17</xdr:col>
      <xdr:colOff>600077</xdr:colOff>
      <xdr:row>6</xdr:row>
      <xdr:rowOff>121626</xdr:rowOff>
    </xdr:to>
    <xdr:sp macro="" textlink="">
      <xdr:nvSpPr>
        <xdr:cNvPr id="13470" name="Rectangle 158">
          <a:extLst>
            <a:ext uri="{FF2B5EF4-FFF2-40B4-BE49-F238E27FC236}">
              <a16:creationId xmlns:a16="http://schemas.microsoft.com/office/drawing/2014/main" id="{00000000-0008-0000-0200-00009E340000}"/>
            </a:ext>
          </a:extLst>
        </xdr:cNvPr>
        <xdr:cNvSpPr>
          <a:spLocks noChangeArrowheads="1"/>
        </xdr:cNvSpPr>
      </xdr:nvSpPr>
      <xdr:spPr bwMode="auto">
        <a:xfrm>
          <a:off x="9152061" y="671145"/>
          <a:ext cx="1786304" cy="417635"/>
        </a:xfrm>
        <a:prstGeom prst="rect">
          <a:avLst/>
        </a:prstGeom>
        <a:solidFill>
          <a:srgbClr val="CFE7F5"/>
        </a:solidFill>
        <a:ln w="9525">
          <a:solidFill>
            <a:srgbClr val="808080"/>
          </a:solidFill>
          <a:round/>
          <a:headEnd/>
          <a:tailEnd/>
        </a:ln>
      </xdr:spPr>
      <xdr:txBody>
        <a:bodyPr vertOverflow="clip" wrap="square" lIns="0" tIns="0" rIns="0" bIns="0" anchor="t"/>
        <a:lstStyle/>
        <a:p>
          <a:pPr algn="l" rtl="0">
            <a:defRPr sz="1000"/>
          </a:pPr>
          <a:r>
            <a:rPr lang="sl-SI" sz="1200" b="0" i="0" u="none" strike="noStrike" baseline="0">
              <a:solidFill>
                <a:srgbClr val="000000"/>
              </a:solidFill>
              <a:latin typeface="Times New Roman"/>
              <a:cs typeface="Times New Roman"/>
            </a:rPr>
            <a:t>Purchase / sale department</a:t>
          </a:r>
        </a:p>
      </xdr:txBody>
    </xdr:sp>
    <xdr:clientData/>
  </xdr:twoCellAnchor>
  <xdr:twoCellAnchor>
    <xdr:from>
      <xdr:col>15</xdr:col>
      <xdr:colOff>106240</xdr:colOff>
      <xdr:row>1</xdr:row>
      <xdr:rowOff>19782</xdr:rowOff>
    </xdr:from>
    <xdr:to>
      <xdr:col>18</xdr:col>
      <xdr:colOff>77665</xdr:colOff>
      <xdr:row>3</xdr:row>
      <xdr:rowOff>123824</xdr:rowOff>
    </xdr:to>
    <xdr:grpSp>
      <xdr:nvGrpSpPr>
        <xdr:cNvPr id="2" name="Skupina 1">
          <a:extLst>
            <a:ext uri="{FF2B5EF4-FFF2-40B4-BE49-F238E27FC236}">
              <a16:creationId xmlns:a16="http://schemas.microsoft.com/office/drawing/2014/main" id="{00000000-0008-0000-0200-000002000000}"/>
            </a:ext>
          </a:extLst>
        </xdr:cNvPr>
        <xdr:cNvGrpSpPr/>
      </xdr:nvGrpSpPr>
      <xdr:grpSpPr>
        <a:xfrm>
          <a:off x="9228259" y="180974"/>
          <a:ext cx="1795829" cy="426427"/>
          <a:chOff x="6781800" y="1752600"/>
          <a:chExt cx="1800225" cy="428625"/>
        </a:xfrm>
      </xdr:grpSpPr>
      <xdr:sp macro="" textlink="">
        <xdr:nvSpPr>
          <xdr:cNvPr id="13469" name="Rectangle 157">
            <a:extLst>
              <a:ext uri="{FF2B5EF4-FFF2-40B4-BE49-F238E27FC236}">
                <a16:creationId xmlns:a16="http://schemas.microsoft.com/office/drawing/2014/main" id="{00000000-0008-0000-0200-00009D340000}"/>
              </a:ext>
            </a:extLst>
          </xdr:cNvPr>
          <xdr:cNvSpPr>
            <a:spLocks noChangeArrowheads="1"/>
          </xdr:cNvSpPr>
        </xdr:nvSpPr>
        <xdr:spPr bwMode="auto">
          <a:xfrm>
            <a:off x="6781800" y="1752600"/>
            <a:ext cx="1800225" cy="219075"/>
          </a:xfrm>
          <a:prstGeom prst="rect">
            <a:avLst/>
          </a:prstGeom>
          <a:solidFill>
            <a:srgbClr val="CFE7F5"/>
          </a:solidFill>
          <a:ln w="9525">
            <a:solidFill>
              <a:srgbClr val="808080"/>
            </a:solidFill>
            <a:round/>
            <a:headEnd/>
            <a:tailEnd/>
          </a:ln>
        </xdr:spPr>
        <xdr:txBody>
          <a:bodyPr vertOverflow="clip" wrap="square" lIns="0" tIns="0" rIns="0" bIns="0" anchor="t"/>
          <a:lstStyle/>
          <a:p>
            <a:pPr algn="l" rtl="0">
              <a:defRPr sz="1000"/>
            </a:pPr>
            <a:r>
              <a:rPr lang="sl-SI" sz="1200" b="0" i="0" u="none" strike="noStrike" baseline="0">
                <a:solidFill>
                  <a:srgbClr val="000000"/>
                </a:solidFill>
                <a:latin typeface="Times New Roman"/>
                <a:cs typeface="Times New Roman"/>
              </a:rPr>
              <a:t>Production maneger</a:t>
            </a:r>
          </a:p>
        </xdr:txBody>
      </xdr:sp>
      <xdr:sp macro="" textlink="">
        <xdr:nvSpPr>
          <xdr:cNvPr id="13468" name="Rectangle 156">
            <a:extLst>
              <a:ext uri="{FF2B5EF4-FFF2-40B4-BE49-F238E27FC236}">
                <a16:creationId xmlns:a16="http://schemas.microsoft.com/office/drawing/2014/main" id="{00000000-0008-0000-0200-00009C340000}"/>
              </a:ext>
            </a:extLst>
          </xdr:cNvPr>
          <xdr:cNvSpPr>
            <a:spLocks noChangeArrowheads="1"/>
          </xdr:cNvSpPr>
        </xdr:nvSpPr>
        <xdr:spPr bwMode="auto">
          <a:xfrm>
            <a:off x="6781800" y="1962150"/>
            <a:ext cx="1800225" cy="219075"/>
          </a:xfrm>
          <a:prstGeom prst="rect">
            <a:avLst/>
          </a:prstGeom>
          <a:solidFill>
            <a:srgbClr val="CFE7F5"/>
          </a:solidFill>
          <a:ln w="9525">
            <a:solidFill>
              <a:srgbClr val="808080"/>
            </a:solidFill>
            <a:round/>
            <a:headEnd/>
            <a:tailEnd/>
          </a:ln>
        </xdr:spPr>
        <xdr:txBody>
          <a:bodyPr vertOverflow="clip" wrap="square" lIns="0" tIns="0" rIns="0" bIns="0" anchor="t"/>
          <a:lstStyle/>
          <a:p>
            <a:pPr algn="l" rtl="0">
              <a:defRPr sz="1000"/>
            </a:pPr>
            <a:r>
              <a:rPr lang="sl-SI" sz="1200" b="0" i="0" u="none" strike="noStrike" baseline="0">
                <a:solidFill>
                  <a:srgbClr val="000000"/>
                </a:solidFill>
                <a:latin typeface="Times New Roman"/>
                <a:cs typeface="Times New Roman"/>
              </a:rPr>
              <a:t>Quality department</a:t>
            </a:r>
          </a:p>
        </xdr:txBody>
      </xdr:sp>
    </xdr:grpSp>
    <xdr:clientData/>
  </xdr:twoCellAnchor>
  <xdr:twoCellAnchor>
    <xdr:from>
      <xdr:col>0</xdr:col>
      <xdr:colOff>600075</xdr:colOff>
      <xdr:row>7</xdr:row>
      <xdr:rowOff>10990</xdr:rowOff>
    </xdr:from>
    <xdr:to>
      <xdr:col>3</xdr:col>
      <xdr:colOff>353890</xdr:colOff>
      <xdr:row>9</xdr:row>
      <xdr:rowOff>153131</xdr:rowOff>
    </xdr:to>
    <xdr:sp macro="" textlink="">
      <xdr:nvSpPr>
        <xdr:cNvPr id="13454" name="Rectangle 142">
          <a:extLst>
            <a:ext uri="{FF2B5EF4-FFF2-40B4-BE49-F238E27FC236}">
              <a16:creationId xmlns:a16="http://schemas.microsoft.com/office/drawing/2014/main" id="{00000000-0008-0000-0200-00008E340000}"/>
            </a:ext>
          </a:extLst>
        </xdr:cNvPr>
        <xdr:cNvSpPr>
          <a:spLocks noChangeArrowheads="1"/>
        </xdr:cNvSpPr>
      </xdr:nvSpPr>
      <xdr:spPr bwMode="auto">
        <a:xfrm>
          <a:off x="600075" y="1307855"/>
          <a:ext cx="1578219" cy="464526"/>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 001 - Melting</a:t>
          </a:r>
        </a:p>
      </xdr:txBody>
    </xdr:sp>
    <xdr:clientData/>
  </xdr:twoCellAnchor>
  <xdr:twoCellAnchor>
    <xdr:from>
      <xdr:col>6</xdr:col>
      <xdr:colOff>313593</xdr:colOff>
      <xdr:row>19</xdr:row>
      <xdr:rowOff>149469</xdr:rowOff>
    </xdr:from>
    <xdr:to>
      <xdr:col>9</xdr:col>
      <xdr:colOff>75468</xdr:colOff>
      <xdr:row>22</xdr:row>
      <xdr:rowOff>120162</xdr:rowOff>
    </xdr:to>
    <xdr:sp macro="" textlink="">
      <xdr:nvSpPr>
        <xdr:cNvPr id="13453" name="Rectangle 141">
          <a:extLst>
            <a:ext uri="{FF2B5EF4-FFF2-40B4-BE49-F238E27FC236}">
              <a16:creationId xmlns:a16="http://schemas.microsoft.com/office/drawing/2014/main" id="{00000000-0008-0000-0200-00008D340000}"/>
            </a:ext>
          </a:extLst>
        </xdr:cNvPr>
        <xdr:cNvSpPr>
          <a:spLocks noChangeArrowheads="1"/>
        </xdr:cNvSpPr>
      </xdr:nvSpPr>
      <xdr:spPr bwMode="auto">
        <a:xfrm>
          <a:off x="3962401" y="3527181"/>
          <a:ext cx="1586279" cy="454269"/>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005 – Die Casting and Cutting</a:t>
          </a:r>
        </a:p>
      </xdr:txBody>
    </xdr:sp>
    <xdr:clientData/>
  </xdr:twoCellAnchor>
  <xdr:twoCellAnchor>
    <xdr:from>
      <xdr:col>0</xdr:col>
      <xdr:colOff>452071</xdr:colOff>
      <xdr:row>62</xdr:row>
      <xdr:rowOff>150202</xdr:rowOff>
    </xdr:from>
    <xdr:to>
      <xdr:col>3</xdr:col>
      <xdr:colOff>205886</xdr:colOff>
      <xdr:row>65</xdr:row>
      <xdr:rowOff>29307</xdr:rowOff>
    </xdr:to>
    <xdr:sp macro="" textlink="">
      <xdr:nvSpPr>
        <xdr:cNvPr id="13394" name="Rectangle 82">
          <a:extLst>
            <a:ext uri="{FF2B5EF4-FFF2-40B4-BE49-F238E27FC236}">
              <a16:creationId xmlns:a16="http://schemas.microsoft.com/office/drawing/2014/main" id="{00000000-0008-0000-0200-000052340000}"/>
            </a:ext>
          </a:extLst>
        </xdr:cNvPr>
        <xdr:cNvSpPr>
          <a:spLocks noChangeArrowheads="1"/>
        </xdr:cNvSpPr>
      </xdr:nvSpPr>
      <xdr:spPr bwMode="auto">
        <a:xfrm>
          <a:off x="452071" y="11008702"/>
          <a:ext cx="1578219" cy="472586"/>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020 – 100% Visual control and packaging</a:t>
          </a:r>
        </a:p>
      </xdr:txBody>
    </xdr:sp>
    <xdr:clientData/>
  </xdr:twoCellAnchor>
  <xdr:twoCellAnchor>
    <xdr:from>
      <xdr:col>0</xdr:col>
      <xdr:colOff>57255</xdr:colOff>
      <xdr:row>30</xdr:row>
      <xdr:rowOff>44589</xdr:rowOff>
    </xdr:from>
    <xdr:to>
      <xdr:col>2</xdr:col>
      <xdr:colOff>409680</xdr:colOff>
      <xdr:row>32</xdr:row>
      <xdr:rowOff>133140</xdr:rowOff>
    </xdr:to>
    <xdr:sp macro="" textlink="">
      <xdr:nvSpPr>
        <xdr:cNvPr id="13452" name="Rectangle 140">
          <a:extLst>
            <a:ext uri="{FF2B5EF4-FFF2-40B4-BE49-F238E27FC236}">
              <a16:creationId xmlns:a16="http://schemas.microsoft.com/office/drawing/2014/main" id="{00000000-0008-0000-0200-00008C340000}"/>
            </a:ext>
          </a:extLst>
        </xdr:cNvPr>
        <xdr:cNvSpPr>
          <a:spLocks noChangeArrowheads="1"/>
        </xdr:cNvSpPr>
      </xdr:nvSpPr>
      <xdr:spPr bwMode="auto">
        <a:xfrm>
          <a:off x="57255" y="5305320"/>
          <a:ext cx="1568694" cy="447570"/>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010 – Hole calibration and griding</a:t>
          </a:r>
        </a:p>
      </xdr:txBody>
    </xdr:sp>
    <xdr:clientData/>
  </xdr:twoCellAnchor>
  <xdr:twoCellAnchor>
    <xdr:from>
      <xdr:col>3</xdr:col>
      <xdr:colOff>100379</xdr:colOff>
      <xdr:row>51</xdr:row>
      <xdr:rowOff>98913</xdr:rowOff>
    </xdr:from>
    <xdr:to>
      <xdr:col>5</xdr:col>
      <xdr:colOff>460864</xdr:colOff>
      <xdr:row>53</xdr:row>
      <xdr:rowOff>190499</xdr:rowOff>
    </xdr:to>
    <xdr:sp macro="" textlink="">
      <xdr:nvSpPr>
        <xdr:cNvPr id="13419" name="Rectangle 107">
          <a:extLst>
            <a:ext uri="{FF2B5EF4-FFF2-40B4-BE49-F238E27FC236}">
              <a16:creationId xmlns:a16="http://schemas.microsoft.com/office/drawing/2014/main" id="{00000000-0008-0000-0200-00006B340000}"/>
            </a:ext>
          </a:extLst>
        </xdr:cNvPr>
        <xdr:cNvSpPr>
          <a:spLocks noChangeArrowheads="1"/>
        </xdr:cNvSpPr>
      </xdr:nvSpPr>
      <xdr:spPr bwMode="auto">
        <a:xfrm>
          <a:off x="1924783" y="8927855"/>
          <a:ext cx="1576754" cy="413971"/>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015 – Cross height control</a:t>
          </a:r>
        </a:p>
      </xdr:txBody>
    </xdr:sp>
    <xdr:clientData/>
  </xdr:twoCellAnchor>
  <xdr:twoCellAnchor>
    <xdr:from>
      <xdr:col>2</xdr:col>
      <xdr:colOff>296740</xdr:colOff>
      <xdr:row>67</xdr:row>
      <xdr:rowOff>123092</xdr:rowOff>
    </xdr:from>
    <xdr:to>
      <xdr:col>5</xdr:col>
      <xdr:colOff>79131</xdr:colOff>
      <xdr:row>69</xdr:row>
      <xdr:rowOff>140677</xdr:rowOff>
    </xdr:to>
    <xdr:sp macro="" textlink="">
      <xdr:nvSpPr>
        <xdr:cNvPr id="13404" name="Rectangle 92">
          <a:extLst>
            <a:ext uri="{FF2B5EF4-FFF2-40B4-BE49-F238E27FC236}">
              <a16:creationId xmlns:a16="http://schemas.microsoft.com/office/drawing/2014/main" id="{00000000-0008-0000-0200-00005C340000}"/>
            </a:ext>
          </a:extLst>
        </xdr:cNvPr>
        <xdr:cNvSpPr>
          <a:spLocks noChangeArrowheads="1"/>
        </xdr:cNvSpPr>
      </xdr:nvSpPr>
      <xdr:spPr bwMode="auto">
        <a:xfrm>
          <a:off x="1513009" y="11970727"/>
          <a:ext cx="1606795" cy="376604"/>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 025 -  Delivery</a:t>
          </a:r>
        </a:p>
      </xdr:txBody>
    </xdr:sp>
    <xdr:clientData/>
  </xdr:twoCellAnchor>
  <xdr:twoCellAnchor>
    <xdr:from>
      <xdr:col>18</xdr:col>
      <xdr:colOff>370742</xdr:colOff>
      <xdr:row>3</xdr:row>
      <xdr:rowOff>43962</xdr:rowOff>
    </xdr:from>
    <xdr:to>
      <xdr:col>18</xdr:col>
      <xdr:colOff>551717</xdr:colOff>
      <xdr:row>4</xdr:row>
      <xdr:rowOff>43962</xdr:rowOff>
    </xdr:to>
    <xdr:sp macro="" textlink="">
      <xdr:nvSpPr>
        <xdr:cNvPr id="13467" name="AutoShape 155">
          <a:extLst>
            <a:ext uri="{FF2B5EF4-FFF2-40B4-BE49-F238E27FC236}">
              <a16:creationId xmlns:a16="http://schemas.microsoft.com/office/drawing/2014/main" id="{00000000-0008-0000-0200-00009B340000}"/>
            </a:ext>
          </a:extLst>
        </xdr:cNvPr>
        <xdr:cNvSpPr>
          <a:spLocks noChangeArrowheads="1"/>
        </xdr:cNvSpPr>
      </xdr:nvSpPr>
      <xdr:spPr bwMode="auto">
        <a:xfrm>
          <a:off x="11317165" y="527539"/>
          <a:ext cx="180975" cy="161192"/>
        </a:xfrm>
        <a:prstGeom prst="triangle">
          <a:avLst>
            <a:gd name="adj" fmla="val 50000"/>
          </a:avLst>
        </a:prstGeom>
        <a:solidFill>
          <a:srgbClr val="CFE7F5"/>
        </a:solidFill>
        <a:ln w="9525">
          <a:solidFill>
            <a:srgbClr val="808080"/>
          </a:solidFill>
          <a:round/>
          <a:headEnd/>
          <a:tailEnd/>
        </a:ln>
      </xdr:spPr>
    </xdr:sp>
    <xdr:clientData/>
  </xdr:twoCellAnchor>
  <xdr:twoCellAnchor>
    <xdr:from>
      <xdr:col>18</xdr:col>
      <xdr:colOff>427892</xdr:colOff>
      <xdr:row>1</xdr:row>
      <xdr:rowOff>72537</xdr:rowOff>
    </xdr:from>
    <xdr:to>
      <xdr:col>18</xdr:col>
      <xdr:colOff>513617</xdr:colOff>
      <xdr:row>3</xdr:row>
      <xdr:rowOff>24912</xdr:rowOff>
    </xdr:to>
    <xdr:sp macro="" textlink="">
      <xdr:nvSpPr>
        <xdr:cNvPr id="13466" name="AutoShape 154">
          <a:extLst>
            <a:ext uri="{FF2B5EF4-FFF2-40B4-BE49-F238E27FC236}">
              <a16:creationId xmlns:a16="http://schemas.microsoft.com/office/drawing/2014/main" id="{00000000-0008-0000-0200-00009A340000}"/>
            </a:ext>
          </a:extLst>
        </xdr:cNvPr>
        <xdr:cNvSpPr>
          <a:spLocks noChangeArrowheads="1"/>
        </xdr:cNvSpPr>
      </xdr:nvSpPr>
      <xdr:spPr bwMode="auto">
        <a:xfrm>
          <a:off x="11374315" y="233729"/>
          <a:ext cx="85725" cy="274760"/>
        </a:xfrm>
        <a:prstGeom prst="downArrow">
          <a:avLst>
            <a:gd name="adj1" fmla="val 50000"/>
            <a:gd name="adj2" fmla="val 80556"/>
          </a:avLst>
        </a:prstGeom>
        <a:solidFill>
          <a:srgbClr val="CFE7F5"/>
        </a:solidFill>
        <a:ln w="9525">
          <a:solidFill>
            <a:srgbClr val="808080"/>
          </a:solidFill>
          <a:round/>
          <a:headEnd/>
          <a:tailEnd/>
        </a:ln>
      </xdr:spPr>
    </xdr:sp>
    <xdr:clientData/>
  </xdr:twoCellAnchor>
  <xdr:twoCellAnchor>
    <xdr:from>
      <xdr:col>18</xdr:col>
      <xdr:colOff>418367</xdr:colOff>
      <xdr:row>4</xdr:row>
      <xdr:rowOff>53487</xdr:rowOff>
    </xdr:from>
    <xdr:to>
      <xdr:col>18</xdr:col>
      <xdr:colOff>494567</xdr:colOff>
      <xdr:row>5</xdr:row>
      <xdr:rowOff>119429</xdr:rowOff>
    </xdr:to>
    <xdr:sp macro="" textlink="">
      <xdr:nvSpPr>
        <xdr:cNvPr id="13465" name="AutoShape 153">
          <a:extLst>
            <a:ext uri="{FF2B5EF4-FFF2-40B4-BE49-F238E27FC236}">
              <a16:creationId xmlns:a16="http://schemas.microsoft.com/office/drawing/2014/main" id="{00000000-0008-0000-0200-000099340000}"/>
            </a:ext>
          </a:extLst>
        </xdr:cNvPr>
        <xdr:cNvSpPr>
          <a:spLocks noChangeArrowheads="1"/>
        </xdr:cNvSpPr>
      </xdr:nvSpPr>
      <xdr:spPr bwMode="auto">
        <a:xfrm>
          <a:off x="11364790" y="698256"/>
          <a:ext cx="76200" cy="227135"/>
        </a:xfrm>
        <a:prstGeom prst="downArrow">
          <a:avLst>
            <a:gd name="adj1" fmla="val 50000"/>
            <a:gd name="adj2" fmla="val 75000"/>
          </a:avLst>
        </a:prstGeom>
        <a:solidFill>
          <a:srgbClr val="CFE7F5"/>
        </a:solidFill>
        <a:ln w="9525">
          <a:solidFill>
            <a:srgbClr val="808080"/>
          </a:solidFill>
          <a:round/>
          <a:headEnd/>
          <a:tailEnd/>
        </a:ln>
      </xdr:spPr>
    </xdr:sp>
    <xdr:clientData/>
  </xdr:twoCellAnchor>
  <xdr:twoCellAnchor>
    <xdr:from>
      <xdr:col>13</xdr:col>
      <xdr:colOff>291612</xdr:colOff>
      <xdr:row>13</xdr:row>
      <xdr:rowOff>112835</xdr:rowOff>
    </xdr:from>
    <xdr:to>
      <xdr:col>14</xdr:col>
      <xdr:colOff>224936</xdr:colOff>
      <xdr:row>15</xdr:row>
      <xdr:rowOff>150202</xdr:rowOff>
    </xdr:to>
    <xdr:sp macro="" textlink="">
      <xdr:nvSpPr>
        <xdr:cNvPr id="13448" name="AutoShape 136">
          <a:extLst>
            <a:ext uri="{FF2B5EF4-FFF2-40B4-BE49-F238E27FC236}">
              <a16:creationId xmlns:a16="http://schemas.microsoft.com/office/drawing/2014/main" id="{00000000-0008-0000-0200-000088340000}"/>
            </a:ext>
          </a:extLst>
        </xdr:cNvPr>
        <xdr:cNvSpPr>
          <a:spLocks noChangeArrowheads="1"/>
        </xdr:cNvSpPr>
      </xdr:nvSpPr>
      <xdr:spPr bwMode="auto">
        <a:xfrm>
          <a:off x="8197362" y="2281604"/>
          <a:ext cx="541459" cy="433021"/>
        </a:xfrm>
        <a:prstGeom prst="flowChartPunchedTape">
          <a:avLst/>
        </a:prstGeom>
        <a:solidFill>
          <a:srgbClr val="CFE7F5"/>
        </a:solidFill>
        <a:ln w="9525">
          <a:solidFill>
            <a:srgbClr val="808080"/>
          </a:solidFill>
          <a:round/>
          <a:headEnd/>
          <a:tailEnd/>
        </a:ln>
      </xdr:spPr>
      <xdr:txBody>
        <a:bodyPr vertOverflow="clip" wrap="square" lIns="0" tIns="0" rIns="0" bIns="0" anchor="t"/>
        <a:lstStyle/>
        <a:p>
          <a:pPr algn="l" rtl="0">
            <a:defRPr sz="1000"/>
          </a:pPr>
          <a:r>
            <a:rPr lang="sl-SI" sz="800" b="0" i="0" u="none" strike="noStrike" baseline="0">
              <a:solidFill>
                <a:srgbClr val="000000"/>
              </a:solidFill>
              <a:latin typeface="Times New Roman"/>
              <a:cs typeface="Times New Roman"/>
            </a:rPr>
            <a:t>Control plan:</a:t>
          </a:r>
          <a:endParaRPr lang="sl-SI" sz="1200" b="0" i="0" u="none" strike="noStrike" baseline="0">
            <a:solidFill>
              <a:srgbClr val="000000"/>
            </a:solidFill>
            <a:latin typeface="Times New Roman"/>
            <a:cs typeface="Times New Roman"/>
          </a:endParaRPr>
        </a:p>
        <a:p>
          <a:pPr algn="l" rtl="0">
            <a:defRPr sz="1000"/>
          </a:pPr>
          <a:r>
            <a:rPr lang="sl-SI" sz="800" b="0" i="0" u="none" strike="noStrike" baseline="0">
              <a:solidFill>
                <a:srgbClr val="000000"/>
              </a:solidFill>
              <a:latin typeface="Times New Roman"/>
              <a:cs typeface="Times New Roman"/>
            </a:rPr>
            <a:t>Nr : 1x</a:t>
          </a:r>
        </a:p>
      </xdr:txBody>
    </xdr:sp>
    <xdr:clientData/>
  </xdr:twoCellAnchor>
  <xdr:twoCellAnchor>
    <xdr:from>
      <xdr:col>13</xdr:col>
      <xdr:colOff>282087</xdr:colOff>
      <xdr:row>16</xdr:row>
      <xdr:rowOff>9525</xdr:rowOff>
    </xdr:from>
    <xdr:to>
      <xdr:col>14</xdr:col>
      <xdr:colOff>215411</xdr:colOff>
      <xdr:row>18</xdr:row>
      <xdr:rowOff>120894</xdr:rowOff>
    </xdr:to>
    <xdr:sp macro="" textlink="">
      <xdr:nvSpPr>
        <xdr:cNvPr id="13447" name="AutoShape 135">
          <a:extLst>
            <a:ext uri="{FF2B5EF4-FFF2-40B4-BE49-F238E27FC236}">
              <a16:creationId xmlns:a16="http://schemas.microsoft.com/office/drawing/2014/main" id="{00000000-0008-0000-0200-000087340000}"/>
            </a:ext>
          </a:extLst>
        </xdr:cNvPr>
        <xdr:cNvSpPr>
          <a:spLocks noChangeArrowheads="1"/>
        </xdr:cNvSpPr>
      </xdr:nvSpPr>
      <xdr:spPr bwMode="auto">
        <a:xfrm>
          <a:off x="8187837" y="2771775"/>
          <a:ext cx="541459" cy="433754"/>
        </a:xfrm>
        <a:prstGeom prst="flowChartPunchedTape">
          <a:avLst/>
        </a:prstGeom>
        <a:solidFill>
          <a:srgbClr val="CFE7F5"/>
        </a:solidFill>
        <a:ln w="9525">
          <a:solidFill>
            <a:srgbClr val="808080"/>
          </a:solidFill>
          <a:round/>
          <a:headEnd/>
          <a:tailEnd/>
        </a:ln>
      </xdr:spPr>
      <xdr:txBody>
        <a:bodyPr vertOverflow="clip" wrap="square" lIns="0" tIns="0" rIns="0" bIns="0" anchor="t"/>
        <a:lstStyle/>
        <a:p>
          <a:pPr algn="l" rtl="0">
            <a:defRPr sz="1000"/>
          </a:pPr>
          <a:r>
            <a:rPr lang="sl-SI" sz="800" b="0" i="0" u="none" strike="noStrike" baseline="0">
              <a:solidFill>
                <a:srgbClr val="000000"/>
              </a:solidFill>
              <a:latin typeface="Times New Roman"/>
              <a:cs typeface="Times New Roman"/>
            </a:rPr>
            <a:t>Control plan:</a:t>
          </a:r>
          <a:endParaRPr lang="sl-SI" sz="1200" b="0" i="0" u="none" strike="noStrike" baseline="0">
            <a:solidFill>
              <a:srgbClr val="000000"/>
            </a:solidFill>
            <a:latin typeface="Times New Roman"/>
            <a:cs typeface="Times New Roman"/>
          </a:endParaRPr>
        </a:p>
        <a:p>
          <a:pPr algn="l" rtl="0">
            <a:defRPr sz="1000"/>
          </a:pPr>
          <a:r>
            <a:rPr lang="sl-SI" sz="800" b="0" i="0" u="none" strike="noStrike" baseline="0">
              <a:solidFill>
                <a:srgbClr val="000000"/>
              </a:solidFill>
              <a:latin typeface="Times New Roman"/>
              <a:cs typeface="Times New Roman"/>
            </a:rPr>
            <a:t>Nr : 2x</a:t>
          </a:r>
        </a:p>
      </xdr:txBody>
    </xdr:sp>
    <xdr:clientData/>
  </xdr:twoCellAnchor>
  <xdr:twoCellAnchor>
    <xdr:from>
      <xdr:col>13</xdr:col>
      <xdr:colOff>291612</xdr:colOff>
      <xdr:row>19</xdr:row>
      <xdr:rowOff>24179</xdr:rowOff>
    </xdr:from>
    <xdr:to>
      <xdr:col>14</xdr:col>
      <xdr:colOff>224936</xdr:colOff>
      <xdr:row>21</xdr:row>
      <xdr:rowOff>138479</xdr:rowOff>
    </xdr:to>
    <xdr:sp macro="" textlink="">
      <xdr:nvSpPr>
        <xdr:cNvPr id="13417" name="AutoShape 105">
          <a:extLst>
            <a:ext uri="{FF2B5EF4-FFF2-40B4-BE49-F238E27FC236}">
              <a16:creationId xmlns:a16="http://schemas.microsoft.com/office/drawing/2014/main" id="{00000000-0008-0000-0200-000069340000}"/>
            </a:ext>
          </a:extLst>
        </xdr:cNvPr>
        <xdr:cNvSpPr>
          <a:spLocks noChangeArrowheads="1"/>
        </xdr:cNvSpPr>
      </xdr:nvSpPr>
      <xdr:spPr bwMode="auto">
        <a:xfrm>
          <a:off x="8197362" y="3270006"/>
          <a:ext cx="541459" cy="436685"/>
        </a:xfrm>
        <a:prstGeom prst="flowChartPunchedTape">
          <a:avLst/>
        </a:prstGeom>
        <a:solidFill>
          <a:srgbClr val="CFE7F5"/>
        </a:solidFill>
        <a:ln w="9525">
          <a:solidFill>
            <a:srgbClr val="808080"/>
          </a:solidFill>
          <a:round/>
          <a:headEnd/>
          <a:tailEnd/>
        </a:ln>
      </xdr:spPr>
      <xdr:txBody>
        <a:bodyPr vertOverflow="clip" wrap="square" lIns="0" tIns="0" rIns="0" bIns="0" anchor="t"/>
        <a:lstStyle/>
        <a:p>
          <a:pPr algn="l" rtl="0">
            <a:defRPr sz="1000"/>
          </a:pPr>
          <a:r>
            <a:rPr lang="sl-SI" sz="800" b="0" i="0" u="none" strike="noStrike" baseline="0">
              <a:solidFill>
                <a:srgbClr val="000000"/>
              </a:solidFill>
              <a:latin typeface="Times New Roman"/>
              <a:cs typeface="Times New Roman"/>
            </a:rPr>
            <a:t>Control plan:</a:t>
          </a:r>
          <a:endParaRPr lang="sl-SI" sz="1200" b="0" i="0" u="none" strike="noStrike" baseline="0">
            <a:solidFill>
              <a:srgbClr val="000000"/>
            </a:solidFill>
            <a:latin typeface="Times New Roman"/>
            <a:cs typeface="Times New Roman"/>
          </a:endParaRPr>
        </a:p>
        <a:p>
          <a:pPr algn="l" rtl="0">
            <a:defRPr sz="1000"/>
          </a:pPr>
          <a:r>
            <a:rPr lang="sl-SI" sz="800" b="0" i="0" u="none" strike="noStrike" baseline="0">
              <a:solidFill>
                <a:srgbClr val="000000"/>
              </a:solidFill>
              <a:latin typeface="Times New Roman"/>
              <a:cs typeface="Times New Roman"/>
            </a:rPr>
            <a:t>Nr : 3x</a:t>
          </a:r>
        </a:p>
      </xdr:txBody>
    </xdr:sp>
    <xdr:clientData/>
  </xdr:twoCellAnchor>
  <xdr:twoCellAnchor>
    <xdr:from>
      <xdr:col>13</xdr:col>
      <xdr:colOff>301137</xdr:colOff>
      <xdr:row>22</xdr:row>
      <xdr:rowOff>33704</xdr:rowOff>
    </xdr:from>
    <xdr:to>
      <xdr:col>14</xdr:col>
      <xdr:colOff>234461</xdr:colOff>
      <xdr:row>24</xdr:row>
      <xdr:rowOff>148005</xdr:rowOff>
    </xdr:to>
    <xdr:sp macro="" textlink="">
      <xdr:nvSpPr>
        <xdr:cNvPr id="13403" name="AutoShape 91">
          <a:extLst>
            <a:ext uri="{FF2B5EF4-FFF2-40B4-BE49-F238E27FC236}">
              <a16:creationId xmlns:a16="http://schemas.microsoft.com/office/drawing/2014/main" id="{00000000-0008-0000-0200-00005B340000}"/>
            </a:ext>
          </a:extLst>
        </xdr:cNvPr>
        <xdr:cNvSpPr>
          <a:spLocks noChangeArrowheads="1"/>
        </xdr:cNvSpPr>
      </xdr:nvSpPr>
      <xdr:spPr bwMode="auto">
        <a:xfrm>
          <a:off x="8206887" y="3763108"/>
          <a:ext cx="541459" cy="436685"/>
        </a:xfrm>
        <a:prstGeom prst="flowChartPunchedTape">
          <a:avLst/>
        </a:prstGeom>
        <a:solidFill>
          <a:srgbClr val="CFE7F5"/>
        </a:solidFill>
        <a:ln w="9525">
          <a:solidFill>
            <a:srgbClr val="808080"/>
          </a:solidFill>
          <a:round/>
          <a:headEnd/>
          <a:tailEnd/>
        </a:ln>
      </xdr:spPr>
      <xdr:txBody>
        <a:bodyPr vertOverflow="clip" wrap="square" lIns="0" tIns="0" rIns="0" bIns="0" anchor="t"/>
        <a:lstStyle/>
        <a:p>
          <a:pPr algn="l" rtl="0">
            <a:defRPr sz="1000"/>
          </a:pPr>
          <a:r>
            <a:rPr lang="sl-SI" sz="800" b="0" i="0" u="none" strike="noStrike" baseline="0">
              <a:solidFill>
                <a:srgbClr val="000000"/>
              </a:solidFill>
              <a:latin typeface="Times New Roman"/>
              <a:cs typeface="Times New Roman"/>
            </a:rPr>
            <a:t>Control plan:</a:t>
          </a:r>
          <a:endParaRPr lang="sl-SI" sz="1200" b="0" i="0" u="none" strike="noStrike" baseline="0">
            <a:solidFill>
              <a:srgbClr val="000000"/>
            </a:solidFill>
            <a:latin typeface="Times New Roman"/>
            <a:cs typeface="Times New Roman"/>
          </a:endParaRPr>
        </a:p>
        <a:p>
          <a:pPr algn="l" rtl="0">
            <a:defRPr sz="1000"/>
          </a:pPr>
          <a:r>
            <a:rPr lang="sl-SI" sz="800" b="0" i="0" u="none" strike="noStrike" baseline="0">
              <a:solidFill>
                <a:srgbClr val="000000"/>
              </a:solidFill>
              <a:latin typeface="Times New Roman"/>
              <a:cs typeface="Times New Roman"/>
            </a:rPr>
            <a:t>Nr : 4x</a:t>
          </a:r>
        </a:p>
      </xdr:txBody>
    </xdr:sp>
    <xdr:clientData/>
  </xdr:twoCellAnchor>
  <xdr:twoCellAnchor>
    <xdr:from>
      <xdr:col>15</xdr:col>
      <xdr:colOff>69606</xdr:colOff>
      <xdr:row>10</xdr:row>
      <xdr:rowOff>183906</xdr:rowOff>
    </xdr:from>
    <xdr:to>
      <xdr:col>18</xdr:col>
      <xdr:colOff>544390</xdr:colOff>
      <xdr:row>12</xdr:row>
      <xdr:rowOff>5129</xdr:rowOff>
    </xdr:to>
    <xdr:sp macro="" textlink="">
      <xdr:nvSpPr>
        <xdr:cNvPr id="13464" name="AutoShape 152">
          <a:extLst>
            <a:ext uri="{FF2B5EF4-FFF2-40B4-BE49-F238E27FC236}">
              <a16:creationId xmlns:a16="http://schemas.microsoft.com/office/drawing/2014/main" id="{00000000-0008-0000-0200-000098340000}"/>
            </a:ext>
          </a:extLst>
        </xdr:cNvPr>
        <xdr:cNvSpPr>
          <a:spLocks noChangeArrowheads="1"/>
        </xdr:cNvSpPr>
      </xdr:nvSpPr>
      <xdr:spPr bwMode="auto">
        <a:xfrm>
          <a:off x="9191625" y="1795829"/>
          <a:ext cx="2299188" cy="180242"/>
        </a:xfrm>
        <a:prstGeom prst="rightArrow">
          <a:avLst>
            <a:gd name="adj1" fmla="val 50000"/>
            <a:gd name="adj2" fmla="val 318421"/>
          </a:avLst>
        </a:prstGeom>
        <a:solidFill>
          <a:srgbClr val="FF6600"/>
        </a:solidFill>
        <a:ln w="9525">
          <a:solidFill>
            <a:srgbClr val="808080"/>
          </a:solidFill>
          <a:round/>
          <a:headEnd/>
          <a:tailEnd/>
        </a:ln>
      </xdr:spPr>
    </xdr:sp>
    <xdr:clientData/>
  </xdr:twoCellAnchor>
  <xdr:twoCellAnchor>
    <xdr:from>
      <xdr:col>14</xdr:col>
      <xdr:colOff>590550</xdr:colOff>
      <xdr:row>13</xdr:row>
      <xdr:rowOff>74735</xdr:rowOff>
    </xdr:from>
    <xdr:to>
      <xdr:col>15</xdr:col>
      <xdr:colOff>249116</xdr:colOff>
      <xdr:row>14</xdr:row>
      <xdr:rowOff>9525</xdr:rowOff>
    </xdr:to>
    <xdr:sp macro="" textlink="">
      <xdr:nvSpPr>
        <xdr:cNvPr id="13429" name="Rectangle 117">
          <a:extLst>
            <a:ext uri="{FF2B5EF4-FFF2-40B4-BE49-F238E27FC236}">
              <a16:creationId xmlns:a16="http://schemas.microsoft.com/office/drawing/2014/main" id="{00000000-0008-0000-0200-000075340000}"/>
            </a:ext>
          </a:extLst>
        </xdr:cNvPr>
        <xdr:cNvSpPr>
          <a:spLocks noChangeArrowheads="1"/>
        </xdr:cNvSpPr>
      </xdr:nvSpPr>
      <xdr:spPr bwMode="auto">
        <a:xfrm>
          <a:off x="9104435" y="2243504"/>
          <a:ext cx="266700" cy="132617"/>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000" b="0" i="0" u="none" strike="noStrike" baseline="0">
              <a:solidFill>
                <a:srgbClr val="000000"/>
              </a:solidFill>
              <a:latin typeface="Times New Roman"/>
              <a:cs typeface="Times New Roman"/>
            </a:rPr>
            <a:t>NO</a:t>
          </a:r>
        </a:p>
      </xdr:txBody>
    </xdr:sp>
    <xdr:clientData/>
  </xdr:twoCellAnchor>
  <xdr:twoCellAnchor>
    <xdr:from>
      <xdr:col>16</xdr:col>
      <xdr:colOff>131884</xdr:colOff>
      <xdr:row>13</xdr:row>
      <xdr:rowOff>109172</xdr:rowOff>
    </xdr:from>
    <xdr:to>
      <xdr:col>17</xdr:col>
      <xdr:colOff>112835</xdr:colOff>
      <xdr:row>15</xdr:row>
      <xdr:rowOff>175114</xdr:rowOff>
    </xdr:to>
    <xdr:sp macro="" textlink="">
      <xdr:nvSpPr>
        <xdr:cNvPr id="13431" name="AutoShape 119">
          <a:extLst>
            <a:ext uri="{FF2B5EF4-FFF2-40B4-BE49-F238E27FC236}">
              <a16:creationId xmlns:a16="http://schemas.microsoft.com/office/drawing/2014/main" id="{00000000-0008-0000-0200-000077340000}"/>
            </a:ext>
          </a:extLst>
        </xdr:cNvPr>
        <xdr:cNvSpPr>
          <a:spLocks noChangeArrowheads="1"/>
        </xdr:cNvSpPr>
      </xdr:nvSpPr>
      <xdr:spPr bwMode="auto">
        <a:xfrm>
          <a:off x="9862038" y="2277941"/>
          <a:ext cx="589085" cy="461596"/>
        </a:xfrm>
        <a:prstGeom prst="flowChartPunchedTape">
          <a:avLst/>
        </a:prstGeom>
        <a:solidFill>
          <a:srgbClr val="CFE7F5"/>
        </a:solidFill>
        <a:ln w="9525">
          <a:solidFill>
            <a:srgbClr val="808080"/>
          </a:solidFill>
          <a:round/>
          <a:headEnd/>
          <a:tailEnd/>
        </a:ln>
      </xdr:spPr>
      <xdr:txBody>
        <a:bodyPr vertOverflow="clip" wrap="square" lIns="0" tIns="0" rIns="0" bIns="0" anchor="t"/>
        <a:lstStyle/>
        <a:p>
          <a:pPr algn="l" rtl="0">
            <a:defRPr sz="1000"/>
          </a:pPr>
          <a:r>
            <a:rPr lang="sl-SI" sz="800" b="0" i="0" u="none" strike="noStrike" baseline="0">
              <a:solidFill>
                <a:srgbClr val="000000"/>
              </a:solidFill>
              <a:latin typeface="Times New Roman"/>
              <a:cs typeface="Times New Roman"/>
            </a:rPr>
            <a:t>Control </a:t>
          </a:r>
          <a:endParaRPr lang="sl-SI" sz="1200" b="0" i="0" u="none" strike="noStrike" baseline="0">
            <a:solidFill>
              <a:srgbClr val="000000"/>
            </a:solidFill>
            <a:latin typeface="Times New Roman"/>
            <a:cs typeface="Times New Roman"/>
          </a:endParaRPr>
        </a:p>
        <a:p>
          <a:pPr algn="l" rtl="0">
            <a:defRPr sz="1000"/>
          </a:pPr>
          <a:r>
            <a:rPr lang="sl-SI" sz="800" b="0" i="0" u="none" strike="noStrike" baseline="0">
              <a:solidFill>
                <a:srgbClr val="000000"/>
              </a:solidFill>
              <a:latin typeface="Times New Roman"/>
              <a:cs typeface="Times New Roman"/>
            </a:rPr>
            <a:t>documents</a:t>
          </a:r>
          <a:endParaRPr lang="sl-SI" sz="1200" b="0" i="0" u="none" strike="noStrike" baseline="0">
            <a:solidFill>
              <a:srgbClr val="000000"/>
            </a:solidFill>
            <a:latin typeface="Times New Roman"/>
            <a:cs typeface="Times New Roman"/>
          </a:endParaRPr>
        </a:p>
        <a:p>
          <a:pPr algn="l" rtl="0">
            <a:defRPr sz="1000"/>
          </a:pPr>
          <a:r>
            <a:rPr lang="sl-SI" sz="800" b="0" i="0" u="none" strike="noStrike" baseline="0">
              <a:solidFill>
                <a:srgbClr val="000000"/>
              </a:solidFill>
              <a:latin typeface="Times New Roman"/>
              <a:cs typeface="Times New Roman"/>
            </a:rPr>
            <a:t> </a:t>
          </a:r>
        </a:p>
      </xdr:txBody>
    </xdr:sp>
    <xdr:clientData/>
  </xdr:twoCellAnchor>
  <xdr:twoCellAnchor>
    <xdr:from>
      <xdr:col>16</xdr:col>
      <xdr:colOff>439615</xdr:colOff>
      <xdr:row>12</xdr:row>
      <xdr:rowOff>71804</xdr:rowOff>
    </xdr:from>
    <xdr:to>
      <xdr:col>17</xdr:col>
      <xdr:colOff>534866</xdr:colOff>
      <xdr:row>12</xdr:row>
      <xdr:rowOff>166322</xdr:rowOff>
    </xdr:to>
    <xdr:sp macro="" textlink="">
      <xdr:nvSpPr>
        <xdr:cNvPr id="13442" name="AutoShape 130">
          <a:extLst>
            <a:ext uri="{FF2B5EF4-FFF2-40B4-BE49-F238E27FC236}">
              <a16:creationId xmlns:a16="http://schemas.microsoft.com/office/drawing/2014/main" id="{00000000-0008-0000-0200-000082340000}"/>
            </a:ext>
          </a:extLst>
        </xdr:cNvPr>
        <xdr:cNvSpPr>
          <a:spLocks noChangeArrowheads="1"/>
        </xdr:cNvSpPr>
      </xdr:nvSpPr>
      <xdr:spPr bwMode="auto">
        <a:xfrm>
          <a:off x="10169769" y="2042746"/>
          <a:ext cx="703385" cy="94518"/>
        </a:xfrm>
        <a:prstGeom prst="leftArrow">
          <a:avLst>
            <a:gd name="adj1" fmla="val 50000"/>
            <a:gd name="adj2" fmla="val 185000"/>
          </a:avLst>
        </a:prstGeom>
        <a:solidFill>
          <a:srgbClr val="FF6600"/>
        </a:solidFill>
        <a:ln w="9525">
          <a:solidFill>
            <a:srgbClr val="808080"/>
          </a:solidFill>
          <a:round/>
          <a:headEnd/>
          <a:tailEnd/>
        </a:ln>
      </xdr:spPr>
    </xdr:sp>
    <xdr:clientData/>
  </xdr:twoCellAnchor>
  <xdr:twoCellAnchor>
    <xdr:from>
      <xdr:col>14</xdr:col>
      <xdr:colOff>504825</xdr:colOff>
      <xdr:row>16</xdr:row>
      <xdr:rowOff>69606</xdr:rowOff>
    </xdr:from>
    <xdr:to>
      <xdr:col>15</xdr:col>
      <xdr:colOff>277691</xdr:colOff>
      <xdr:row>17</xdr:row>
      <xdr:rowOff>58616</xdr:rowOff>
    </xdr:to>
    <xdr:sp macro="" textlink="">
      <xdr:nvSpPr>
        <xdr:cNvPr id="13441" name="Oval 129">
          <a:extLst>
            <a:ext uri="{FF2B5EF4-FFF2-40B4-BE49-F238E27FC236}">
              <a16:creationId xmlns:a16="http://schemas.microsoft.com/office/drawing/2014/main" id="{00000000-0008-0000-0200-000081340000}"/>
            </a:ext>
          </a:extLst>
        </xdr:cNvPr>
        <xdr:cNvSpPr>
          <a:spLocks noChangeArrowheads="1"/>
        </xdr:cNvSpPr>
      </xdr:nvSpPr>
      <xdr:spPr bwMode="auto">
        <a:xfrm>
          <a:off x="9018710" y="2831856"/>
          <a:ext cx="381000" cy="150202"/>
        </a:xfrm>
        <a:prstGeom prst="ellipse">
          <a:avLst/>
        </a:prstGeom>
        <a:solidFill>
          <a:srgbClr val="CFE7F5"/>
        </a:solidFill>
        <a:ln w="9525">
          <a:solidFill>
            <a:srgbClr val="808080"/>
          </a:solidFill>
          <a:round/>
          <a:headEnd/>
          <a:tailEnd/>
        </a:ln>
      </xdr:spPr>
    </xdr:sp>
    <xdr:clientData/>
  </xdr:twoCellAnchor>
  <xdr:twoCellAnchor>
    <xdr:from>
      <xdr:col>17</xdr:col>
      <xdr:colOff>349495</xdr:colOff>
      <xdr:row>13</xdr:row>
      <xdr:rowOff>123824</xdr:rowOff>
    </xdr:from>
    <xdr:to>
      <xdr:col>19</xdr:col>
      <xdr:colOff>16120</xdr:colOff>
      <xdr:row>15</xdr:row>
      <xdr:rowOff>104774</xdr:rowOff>
    </xdr:to>
    <xdr:sp macro="" textlink="">
      <xdr:nvSpPr>
        <xdr:cNvPr id="13392" name="AutoShape 80">
          <a:extLst>
            <a:ext uri="{FF2B5EF4-FFF2-40B4-BE49-F238E27FC236}">
              <a16:creationId xmlns:a16="http://schemas.microsoft.com/office/drawing/2014/main" id="{00000000-0008-0000-0200-000050340000}"/>
            </a:ext>
          </a:extLst>
        </xdr:cNvPr>
        <xdr:cNvSpPr>
          <a:spLocks noChangeArrowheads="1"/>
        </xdr:cNvSpPr>
      </xdr:nvSpPr>
      <xdr:spPr bwMode="auto">
        <a:xfrm>
          <a:off x="10687783" y="2292593"/>
          <a:ext cx="882895" cy="376604"/>
        </a:xfrm>
        <a:prstGeom prst="flowChartInputOutpu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Sending</a:t>
          </a:r>
        </a:p>
      </xdr:txBody>
    </xdr:sp>
    <xdr:clientData/>
  </xdr:twoCellAnchor>
  <xdr:twoCellAnchor>
    <xdr:from>
      <xdr:col>19</xdr:col>
      <xdr:colOff>285017</xdr:colOff>
      <xdr:row>3</xdr:row>
      <xdr:rowOff>15387</xdr:rowOff>
    </xdr:from>
    <xdr:to>
      <xdr:col>19</xdr:col>
      <xdr:colOff>399317</xdr:colOff>
      <xdr:row>5</xdr:row>
      <xdr:rowOff>24912</xdr:rowOff>
    </xdr:to>
    <xdr:sp macro="" textlink="">
      <xdr:nvSpPr>
        <xdr:cNvPr id="13462" name="AutoShape 150">
          <a:extLst>
            <a:ext uri="{FF2B5EF4-FFF2-40B4-BE49-F238E27FC236}">
              <a16:creationId xmlns:a16="http://schemas.microsoft.com/office/drawing/2014/main" id="{00000000-0008-0000-0200-000096340000}"/>
            </a:ext>
          </a:extLst>
        </xdr:cNvPr>
        <xdr:cNvSpPr>
          <a:spLocks noChangeArrowheads="1"/>
        </xdr:cNvSpPr>
      </xdr:nvSpPr>
      <xdr:spPr bwMode="auto">
        <a:xfrm>
          <a:off x="11839575" y="498964"/>
          <a:ext cx="114300" cy="331910"/>
        </a:xfrm>
        <a:prstGeom prst="upArrow">
          <a:avLst>
            <a:gd name="adj1" fmla="val 50000"/>
            <a:gd name="adj2" fmla="val 72917"/>
          </a:avLst>
        </a:prstGeom>
        <a:solidFill>
          <a:srgbClr val="CFE7F5"/>
        </a:solidFill>
        <a:ln w="9525">
          <a:solidFill>
            <a:srgbClr val="808080"/>
          </a:solidFill>
          <a:round/>
          <a:headEnd/>
          <a:tailEnd/>
        </a:ln>
      </xdr:spPr>
    </xdr:sp>
    <xdr:clientData/>
  </xdr:twoCellAnchor>
  <xdr:twoCellAnchor>
    <xdr:from>
      <xdr:col>19</xdr:col>
      <xdr:colOff>19782</xdr:colOff>
      <xdr:row>1</xdr:row>
      <xdr:rowOff>119430</xdr:rowOff>
    </xdr:from>
    <xdr:to>
      <xdr:col>19</xdr:col>
      <xdr:colOff>380267</xdr:colOff>
      <xdr:row>2</xdr:row>
      <xdr:rowOff>53487</xdr:rowOff>
    </xdr:to>
    <xdr:sp macro="" textlink="">
      <xdr:nvSpPr>
        <xdr:cNvPr id="13459" name="AutoShape 147">
          <a:extLst>
            <a:ext uri="{FF2B5EF4-FFF2-40B4-BE49-F238E27FC236}">
              <a16:creationId xmlns:a16="http://schemas.microsoft.com/office/drawing/2014/main" id="{00000000-0008-0000-0200-000093340000}"/>
            </a:ext>
          </a:extLst>
        </xdr:cNvPr>
        <xdr:cNvSpPr>
          <a:spLocks noChangeArrowheads="1"/>
        </xdr:cNvSpPr>
      </xdr:nvSpPr>
      <xdr:spPr bwMode="auto">
        <a:xfrm>
          <a:off x="11574340" y="280622"/>
          <a:ext cx="360485" cy="95250"/>
        </a:xfrm>
        <a:prstGeom prst="leftArrow">
          <a:avLst>
            <a:gd name="adj1" fmla="val 50000"/>
            <a:gd name="adj2" fmla="val 95000"/>
          </a:avLst>
        </a:prstGeom>
        <a:solidFill>
          <a:srgbClr val="CFE7F5"/>
        </a:solidFill>
        <a:ln w="9525">
          <a:solidFill>
            <a:srgbClr val="808080"/>
          </a:solidFill>
          <a:round/>
          <a:headEnd/>
          <a:tailEnd/>
        </a:ln>
      </xdr:spPr>
    </xdr:sp>
    <xdr:clientData/>
  </xdr:twoCellAnchor>
  <xdr:twoCellAnchor>
    <xdr:from>
      <xdr:col>14</xdr:col>
      <xdr:colOff>458665</xdr:colOff>
      <xdr:row>20</xdr:row>
      <xdr:rowOff>160460</xdr:rowOff>
    </xdr:from>
    <xdr:to>
      <xdr:col>15</xdr:col>
      <xdr:colOff>344366</xdr:colOff>
      <xdr:row>21</xdr:row>
      <xdr:rowOff>120894</xdr:rowOff>
    </xdr:to>
    <xdr:sp macro="" textlink="">
      <xdr:nvSpPr>
        <xdr:cNvPr id="13406" name="AutoShape 94">
          <a:extLst>
            <a:ext uri="{FF2B5EF4-FFF2-40B4-BE49-F238E27FC236}">
              <a16:creationId xmlns:a16="http://schemas.microsoft.com/office/drawing/2014/main" id="{00000000-0008-0000-0200-00005E340000}"/>
            </a:ext>
          </a:extLst>
        </xdr:cNvPr>
        <xdr:cNvSpPr>
          <a:spLocks noChangeArrowheads="1"/>
        </xdr:cNvSpPr>
      </xdr:nvSpPr>
      <xdr:spPr bwMode="auto">
        <a:xfrm>
          <a:off x="8972550" y="3567479"/>
          <a:ext cx="493835" cy="121627"/>
        </a:xfrm>
        <a:prstGeom prst="flowChartInputOutput">
          <a:avLst/>
        </a:prstGeom>
        <a:solidFill>
          <a:srgbClr val="CFE7F5"/>
        </a:solidFill>
        <a:ln w="9525">
          <a:solidFill>
            <a:srgbClr val="808080"/>
          </a:solidFill>
          <a:round/>
          <a:headEnd/>
          <a:tailEnd/>
        </a:ln>
      </xdr:spPr>
    </xdr:sp>
    <xdr:clientData/>
  </xdr:twoCellAnchor>
  <xdr:twoCellAnchor>
    <xdr:from>
      <xdr:col>14</xdr:col>
      <xdr:colOff>514350</xdr:colOff>
      <xdr:row>18</xdr:row>
      <xdr:rowOff>10990</xdr:rowOff>
    </xdr:from>
    <xdr:to>
      <xdr:col>15</xdr:col>
      <xdr:colOff>249116</xdr:colOff>
      <xdr:row>20</xdr:row>
      <xdr:rowOff>733</xdr:rowOff>
    </xdr:to>
    <xdr:sp macro="" textlink="">
      <xdr:nvSpPr>
        <xdr:cNvPr id="13418" name="AutoShape 106">
          <a:extLst>
            <a:ext uri="{FF2B5EF4-FFF2-40B4-BE49-F238E27FC236}">
              <a16:creationId xmlns:a16="http://schemas.microsoft.com/office/drawing/2014/main" id="{00000000-0008-0000-0200-00006A340000}"/>
            </a:ext>
          </a:extLst>
        </xdr:cNvPr>
        <xdr:cNvSpPr>
          <a:spLocks noChangeArrowheads="1"/>
        </xdr:cNvSpPr>
      </xdr:nvSpPr>
      <xdr:spPr bwMode="auto">
        <a:xfrm>
          <a:off x="9028235" y="3095625"/>
          <a:ext cx="342900" cy="312127"/>
        </a:xfrm>
        <a:prstGeom prst="diamond">
          <a:avLst/>
        </a:prstGeom>
        <a:solidFill>
          <a:srgbClr val="99FFCC"/>
        </a:solidFill>
        <a:ln w="9525">
          <a:solidFill>
            <a:srgbClr val="808080"/>
          </a:solidFill>
          <a:round/>
          <a:headEnd/>
          <a:tailEnd/>
        </a:ln>
      </xdr:spPr>
    </xdr:sp>
    <xdr:clientData/>
  </xdr:twoCellAnchor>
  <xdr:twoCellAnchor>
    <xdr:from>
      <xdr:col>14</xdr:col>
      <xdr:colOff>533400</xdr:colOff>
      <xdr:row>14</xdr:row>
      <xdr:rowOff>114300</xdr:rowOff>
    </xdr:from>
    <xdr:to>
      <xdr:col>15</xdr:col>
      <xdr:colOff>306266</xdr:colOff>
      <xdr:row>15</xdr:row>
      <xdr:rowOff>134083</xdr:rowOff>
    </xdr:to>
    <xdr:sp macro="" textlink="">
      <xdr:nvSpPr>
        <xdr:cNvPr id="13438" name="AutoShape 126">
          <a:extLst>
            <a:ext uri="{FF2B5EF4-FFF2-40B4-BE49-F238E27FC236}">
              <a16:creationId xmlns:a16="http://schemas.microsoft.com/office/drawing/2014/main" id="{00000000-0008-0000-0200-00007E340000}"/>
            </a:ext>
          </a:extLst>
        </xdr:cNvPr>
        <xdr:cNvSpPr>
          <a:spLocks noChangeArrowheads="1"/>
        </xdr:cNvSpPr>
      </xdr:nvSpPr>
      <xdr:spPr bwMode="auto">
        <a:xfrm>
          <a:off x="9047285" y="2480896"/>
          <a:ext cx="381000" cy="217610"/>
        </a:xfrm>
        <a:prstGeom prst="diamond">
          <a:avLst/>
        </a:prstGeom>
        <a:solidFill>
          <a:srgbClr val="99FFCC"/>
        </a:solidFill>
        <a:ln w="9525">
          <a:solidFill>
            <a:srgbClr val="808080"/>
          </a:solidFill>
          <a:round/>
          <a:headEnd/>
          <a:tailEnd/>
        </a:ln>
      </xdr:spPr>
      <xdr:txBody>
        <a:bodyPr vertOverflow="clip" wrap="square" lIns="0" tIns="0" rIns="0" bIns="0" anchor="ctr"/>
        <a:lstStyle/>
        <a:p>
          <a:pPr algn="ctr" rtl="0">
            <a:defRPr sz="1000"/>
          </a:pPr>
          <a:r>
            <a:rPr lang="sl-SI" sz="600" b="1" i="0" u="none" strike="noStrike" baseline="0">
              <a:solidFill>
                <a:srgbClr val="000000"/>
              </a:solidFill>
              <a:latin typeface="Times New Roman"/>
              <a:cs typeface="Times New Roman"/>
            </a:rPr>
            <a:t>o.k</a:t>
          </a:r>
          <a:r>
            <a:rPr lang="sl-SI" sz="800" b="1" i="0" u="none" strike="noStrike" baseline="0">
              <a:solidFill>
                <a:srgbClr val="000000"/>
              </a:solidFill>
              <a:latin typeface="Times New Roman"/>
              <a:cs typeface="Times New Roman"/>
            </a:rPr>
            <a:t>.</a:t>
          </a:r>
        </a:p>
      </xdr:txBody>
    </xdr:sp>
    <xdr:clientData/>
  </xdr:twoCellAnchor>
  <xdr:twoCellAnchor>
    <xdr:from>
      <xdr:col>13</xdr:col>
      <xdr:colOff>282087</xdr:colOff>
      <xdr:row>10</xdr:row>
      <xdr:rowOff>194896</xdr:rowOff>
    </xdr:from>
    <xdr:to>
      <xdr:col>14</xdr:col>
      <xdr:colOff>215411</xdr:colOff>
      <xdr:row>13</xdr:row>
      <xdr:rowOff>74735</xdr:rowOff>
    </xdr:to>
    <xdr:sp macro="" textlink="">
      <xdr:nvSpPr>
        <xdr:cNvPr id="13433" name="AutoShape 121">
          <a:extLst>
            <a:ext uri="{FF2B5EF4-FFF2-40B4-BE49-F238E27FC236}">
              <a16:creationId xmlns:a16="http://schemas.microsoft.com/office/drawing/2014/main" id="{00000000-0008-0000-0200-000079340000}"/>
            </a:ext>
          </a:extLst>
        </xdr:cNvPr>
        <xdr:cNvSpPr>
          <a:spLocks noChangeArrowheads="1"/>
        </xdr:cNvSpPr>
      </xdr:nvSpPr>
      <xdr:spPr bwMode="auto">
        <a:xfrm>
          <a:off x="8187837" y="1806819"/>
          <a:ext cx="541459" cy="436685"/>
        </a:xfrm>
        <a:prstGeom prst="flowChartPunchedTape">
          <a:avLst/>
        </a:prstGeom>
        <a:solidFill>
          <a:srgbClr val="CFE7F5"/>
        </a:solidFill>
        <a:ln w="9525">
          <a:solidFill>
            <a:srgbClr val="808080"/>
          </a:solidFill>
          <a:round/>
          <a:headEnd/>
          <a:tailEnd/>
        </a:ln>
      </xdr:spPr>
      <xdr:txBody>
        <a:bodyPr vertOverflow="clip" wrap="square" lIns="0" tIns="0" rIns="0" bIns="0" anchor="t"/>
        <a:lstStyle/>
        <a:p>
          <a:pPr algn="l" rtl="0">
            <a:defRPr sz="1000"/>
          </a:pPr>
          <a:r>
            <a:rPr lang="sl-SI" sz="800" b="0" i="0" u="none" strike="noStrike" baseline="0">
              <a:solidFill>
                <a:srgbClr val="000000"/>
              </a:solidFill>
              <a:latin typeface="Times New Roman"/>
              <a:cs typeface="Times New Roman"/>
            </a:rPr>
            <a:t>Control plan:</a:t>
          </a:r>
          <a:endParaRPr lang="sl-SI" sz="1200" b="0" i="0" u="none" strike="noStrike" baseline="0">
            <a:solidFill>
              <a:srgbClr val="000000"/>
            </a:solidFill>
            <a:latin typeface="Times New Roman"/>
            <a:cs typeface="Times New Roman"/>
          </a:endParaRPr>
        </a:p>
        <a:p>
          <a:pPr algn="l" rtl="0">
            <a:defRPr sz="1000"/>
          </a:pPr>
          <a:r>
            <a:rPr lang="sl-SI" sz="800" b="0" i="0" u="none" strike="noStrike" baseline="0">
              <a:solidFill>
                <a:srgbClr val="000000"/>
              </a:solidFill>
              <a:latin typeface="Times New Roman"/>
              <a:cs typeface="Times New Roman"/>
            </a:rPr>
            <a:t>Nr : 0x</a:t>
          </a:r>
        </a:p>
      </xdr:txBody>
    </xdr:sp>
    <xdr:clientData/>
  </xdr:twoCellAnchor>
  <xdr:twoCellAnchor>
    <xdr:from>
      <xdr:col>19</xdr:col>
      <xdr:colOff>67407</xdr:colOff>
      <xdr:row>3</xdr:row>
      <xdr:rowOff>34436</xdr:rowOff>
    </xdr:from>
    <xdr:to>
      <xdr:col>19</xdr:col>
      <xdr:colOff>165378</xdr:colOff>
      <xdr:row>4</xdr:row>
      <xdr:rowOff>24911</xdr:rowOff>
    </xdr:to>
    <xdr:sp macro="" textlink="">
      <xdr:nvSpPr>
        <xdr:cNvPr id="161" name="AutoShape 150">
          <a:extLst>
            <a:ext uri="{FF2B5EF4-FFF2-40B4-BE49-F238E27FC236}">
              <a16:creationId xmlns:a16="http://schemas.microsoft.com/office/drawing/2014/main" id="{00000000-0008-0000-0200-0000A1000000}"/>
            </a:ext>
          </a:extLst>
        </xdr:cNvPr>
        <xdr:cNvSpPr>
          <a:spLocks noChangeArrowheads="1"/>
        </xdr:cNvSpPr>
      </xdr:nvSpPr>
      <xdr:spPr bwMode="auto">
        <a:xfrm rot="10800000">
          <a:off x="11621965" y="518013"/>
          <a:ext cx="97971" cy="151667"/>
        </a:xfrm>
        <a:prstGeom prst="upArrow">
          <a:avLst>
            <a:gd name="adj1" fmla="val 50000"/>
            <a:gd name="adj2" fmla="val 72917"/>
          </a:avLst>
        </a:prstGeom>
        <a:solidFill>
          <a:srgbClr val="CFE7F5"/>
        </a:solidFill>
        <a:ln w="9525">
          <a:solidFill>
            <a:srgbClr val="808080"/>
          </a:solidFill>
          <a:round/>
          <a:headEnd/>
          <a:tailEnd/>
        </a:ln>
      </xdr:spPr>
    </xdr:sp>
    <xdr:clientData/>
  </xdr:twoCellAnchor>
  <xdr:twoCellAnchor>
    <xdr:from>
      <xdr:col>12</xdr:col>
      <xdr:colOff>401516</xdr:colOff>
      <xdr:row>0</xdr:row>
      <xdr:rowOff>97448</xdr:rowOff>
    </xdr:from>
    <xdr:to>
      <xdr:col>14</xdr:col>
      <xdr:colOff>590549</xdr:colOff>
      <xdr:row>5</xdr:row>
      <xdr:rowOff>78398</xdr:rowOff>
    </xdr:to>
    <xdr:sp macro="" textlink="">
      <xdr:nvSpPr>
        <xdr:cNvPr id="162" name="AutoShape 1">
          <a:extLst>
            <a:ext uri="{FF2B5EF4-FFF2-40B4-BE49-F238E27FC236}">
              <a16:creationId xmlns:a16="http://schemas.microsoft.com/office/drawing/2014/main" id="{00000000-0008-0000-0200-0000A2000000}"/>
            </a:ext>
          </a:extLst>
        </xdr:cNvPr>
        <xdr:cNvSpPr>
          <a:spLocks noChangeArrowheads="1"/>
        </xdr:cNvSpPr>
      </xdr:nvSpPr>
      <xdr:spPr bwMode="auto">
        <a:xfrm>
          <a:off x="7699131" y="97448"/>
          <a:ext cx="1405303" cy="786912"/>
        </a:xfrm>
        <a:prstGeom prst="diamond">
          <a:avLst/>
        </a:prstGeom>
        <a:solidFill>
          <a:srgbClr val="99FFCC"/>
        </a:solidFill>
        <a:ln w="9525">
          <a:solidFill>
            <a:srgbClr val="808080"/>
          </a:solidFill>
          <a:round/>
          <a:headEnd/>
          <a:tailEnd/>
        </a:ln>
      </xdr:spPr>
      <xdr:txBody>
        <a:bodyPr vertOverflow="clip" wrap="square" lIns="0" tIns="0" rIns="0" bIns="0" anchor="ctr"/>
        <a:lstStyle/>
        <a:p>
          <a:pPr algn="ctr" rtl="0">
            <a:defRPr sz="1000"/>
          </a:pPr>
          <a:r>
            <a:rPr lang="sl-SI" sz="1200" b="1" i="0" u="none" strike="noStrike" baseline="0">
              <a:solidFill>
                <a:srgbClr val="000000"/>
              </a:solidFill>
              <a:latin typeface="Times New Roman"/>
              <a:cs typeface="Times New Roman"/>
            </a:rPr>
            <a:t>Input inspection</a:t>
          </a:r>
        </a:p>
      </xdr:txBody>
    </xdr:sp>
    <xdr:clientData/>
  </xdr:twoCellAnchor>
  <xdr:twoCellAnchor>
    <xdr:from>
      <xdr:col>19</xdr:col>
      <xdr:colOff>158261</xdr:colOff>
      <xdr:row>9</xdr:row>
      <xdr:rowOff>145805</xdr:rowOff>
    </xdr:from>
    <xdr:to>
      <xdr:col>20</xdr:col>
      <xdr:colOff>158262</xdr:colOff>
      <xdr:row>13</xdr:row>
      <xdr:rowOff>23446</xdr:rowOff>
    </xdr:to>
    <xdr:sp macro="" textlink="">
      <xdr:nvSpPr>
        <xdr:cNvPr id="163" name="AutoShape 143">
          <a:extLst>
            <a:ext uri="{FF2B5EF4-FFF2-40B4-BE49-F238E27FC236}">
              <a16:creationId xmlns:a16="http://schemas.microsoft.com/office/drawing/2014/main" id="{00000000-0008-0000-0200-0000A3000000}"/>
            </a:ext>
          </a:extLst>
        </xdr:cNvPr>
        <xdr:cNvSpPr>
          <a:spLocks noChangeArrowheads="1"/>
        </xdr:cNvSpPr>
      </xdr:nvSpPr>
      <xdr:spPr bwMode="auto">
        <a:xfrm>
          <a:off x="11712819" y="1596536"/>
          <a:ext cx="608135" cy="595679"/>
        </a:xfrm>
        <a:prstGeom prst="flowChartPunchedTape">
          <a:avLst/>
        </a:prstGeom>
        <a:solidFill>
          <a:srgbClr val="CFE7F5"/>
        </a:solidFill>
        <a:ln w="9525">
          <a:solidFill>
            <a:srgbClr val="808080"/>
          </a:solidFill>
          <a:round/>
          <a:headEnd/>
          <a:tailEnd/>
        </a:ln>
      </xdr:spPr>
      <xdr:txBody>
        <a:bodyPr vertOverflow="clip" wrap="square" lIns="0" tIns="0" rIns="0" bIns="0" anchor="b"/>
        <a:lstStyle/>
        <a:p>
          <a:pPr algn="ctr" rtl="0">
            <a:defRPr sz="1000"/>
          </a:pPr>
          <a:r>
            <a:rPr lang="sl-SI" sz="1200" b="1" i="0" u="none" strike="noStrike" baseline="0">
              <a:solidFill>
                <a:srgbClr val="000000"/>
              </a:solidFill>
              <a:latin typeface="Times New Roman"/>
              <a:cs typeface="Times New Roman"/>
            </a:rPr>
            <a:t>A test</a:t>
          </a:r>
        </a:p>
        <a:p>
          <a:pPr algn="l" rtl="0">
            <a:defRPr sz="1000"/>
          </a:pPr>
          <a:r>
            <a:rPr lang="sl-SI" sz="1200" b="0" i="0" u="none" strike="noStrike" baseline="0">
              <a:solidFill>
                <a:srgbClr val="000000"/>
              </a:solidFill>
              <a:latin typeface="Times New Roman"/>
              <a:cs typeface="Times New Roman"/>
            </a:rPr>
            <a:t> </a:t>
          </a:r>
        </a:p>
      </xdr:txBody>
    </xdr:sp>
    <xdr:clientData/>
  </xdr:twoCellAnchor>
  <xdr:twoCellAnchor>
    <xdr:from>
      <xdr:col>13</xdr:col>
      <xdr:colOff>191964</xdr:colOff>
      <xdr:row>5</xdr:row>
      <xdr:rowOff>150201</xdr:rowOff>
    </xdr:from>
    <xdr:to>
      <xdr:col>14</xdr:col>
      <xdr:colOff>372939</xdr:colOff>
      <xdr:row>10</xdr:row>
      <xdr:rowOff>139211</xdr:rowOff>
    </xdr:to>
    <xdr:sp macro="" textlink="">
      <xdr:nvSpPr>
        <xdr:cNvPr id="164" name="AutoShape 143">
          <a:extLst>
            <a:ext uri="{FF2B5EF4-FFF2-40B4-BE49-F238E27FC236}">
              <a16:creationId xmlns:a16="http://schemas.microsoft.com/office/drawing/2014/main" id="{00000000-0008-0000-0200-0000A4000000}"/>
            </a:ext>
          </a:extLst>
        </xdr:cNvPr>
        <xdr:cNvSpPr>
          <a:spLocks noChangeArrowheads="1"/>
        </xdr:cNvSpPr>
      </xdr:nvSpPr>
      <xdr:spPr bwMode="auto">
        <a:xfrm>
          <a:off x="8097714" y="956163"/>
          <a:ext cx="789110" cy="794971"/>
        </a:xfrm>
        <a:prstGeom prst="flowChartPunchedTape">
          <a:avLst/>
        </a:prstGeom>
        <a:solidFill>
          <a:srgbClr val="CFE7F5"/>
        </a:solidFill>
        <a:ln w="9525">
          <a:solidFill>
            <a:srgbClr val="808080"/>
          </a:solidFill>
          <a:round/>
          <a:headEnd/>
          <a:tailEnd/>
        </a:ln>
      </xdr:spPr>
      <xdr:txBody>
        <a:bodyPr vertOverflow="clip" wrap="square" lIns="0" tIns="0" rIns="0" bIns="0" anchor="b"/>
        <a:lstStyle/>
        <a:p>
          <a:pPr algn="ctr" rtl="0">
            <a:defRPr sz="1000"/>
          </a:pPr>
          <a:r>
            <a:rPr lang="sl-SI" sz="800" b="1" i="0" u="none" strike="noStrike" baseline="0">
              <a:solidFill>
                <a:srgbClr val="000000"/>
              </a:solidFill>
              <a:latin typeface="Times New Roman"/>
              <a:cs typeface="Times New Roman"/>
            </a:rPr>
            <a:t>PPAP and control documents</a:t>
          </a:r>
        </a:p>
        <a:p>
          <a:pPr algn="l" rtl="0">
            <a:defRPr sz="1000"/>
          </a:pPr>
          <a:r>
            <a:rPr lang="sl-SI" sz="1200" b="0" i="0" u="none" strike="noStrike" baseline="0">
              <a:solidFill>
                <a:srgbClr val="000000"/>
              </a:solidFill>
              <a:latin typeface="Times New Roman"/>
              <a:cs typeface="Times New Roman"/>
            </a:rPr>
            <a:t> </a:t>
          </a:r>
        </a:p>
      </xdr:txBody>
    </xdr:sp>
    <xdr:clientData/>
  </xdr:twoCellAnchor>
  <xdr:twoCellAnchor>
    <xdr:from>
      <xdr:col>3</xdr:col>
      <xdr:colOff>100376</xdr:colOff>
      <xdr:row>35</xdr:row>
      <xdr:rowOff>111054</xdr:rowOff>
    </xdr:from>
    <xdr:to>
      <xdr:col>5</xdr:col>
      <xdr:colOff>471851</xdr:colOff>
      <xdr:row>38</xdr:row>
      <xdr:rowOff>119847</xdr:rowOff>
    </xdr:to>
    <xdr:sp macro="" textlink="">
      <xdr:nvSpPr>
        <xdr:cNvPr id="165" name="Rectangle 141">
          <a:extLst>
            <a:ext uri="{FF2B5EF4-FFF2-40B4-BE49-F238E27FC236}">
              <a16:creationId xmlns:a16="http://schemas.microsoft.com/office/drawing/2014/main" id="{00000000-0008-0000-0200-0000A5000000}"/>
            </a:ext>
          </a:extLst>
        </xdr:cNvPr>
        <xdr:cNvSpPr>
          <a:spLocks noChangeArrowheads="1"/>
        </xdr:cNvSpPr>
      </xdr:nvSpPr>
      <xdr:spPr bwMode="auto">
        <a:xfrm>
          <a:off x="1924780" y="6214381"/>
          <a:ext cx="1587744" cy="492370"/>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010 - Machine cutting</a:t>
          </a:r>
        </a:p>
      </xdr:txBody>
    </xdr:sp>
    <xdr:clientData/>
  </xdr:twoCellAnchor>
  <xdr:twoCellAnchor>
    <xdr:from>
      <xdr:col>0</xdr:col>
      <xdr:colOff>463062</xdr:colOff>
      <xdr:row>20</xdr:row>
      <xdr:rowOff>68139</xdr:rowOff>
    </xdr:from>
    <xdr:to>
      <xdr:col>3</xdr:col>
      <xdr:colOff>226402</xdr:colOff>
      <xdr:row>22</xdr:row>
      <xdr:rowOff>126023</xdr:rowOff>
    </xdr:to>
    <xdr:sp macro="" textlink="">
      <xdr:nvSpPr>
        <xdr:cNvPr id="166" name="Rectangle 141">
          <a:extLst>
            <a:ext uri="{FF2B5EF4-FFF2-40B4-BE49-F238E27FC236}">
              <a16:creationId xmlns:a16="http://schemas.microsoft.com/office/drawing/2014/main" id="{00000000-0008-0000-0200-0000A6000000}"/>
            </a:ext>
          </a:extLst>
        </xdr:cNvPr>
        <xdr:cNvSpPr>
          <a:spLocks noChangeArrowheads="1"/>
        </xdr:cNvSpPr>
      </xdr:nvSpPr>
      <xdr:spPr bwMode="auto">
        <a:xfrm>
          <a:off x="463062" y="3607043"/>
          <a:ext cx="1587744" cy="380268"/>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005 – Die Casting</a:t>
          </a:r>
        </a:p>
      </xdr:txBody>
    </xdr:sp>
    <xdr:clientData/>
  </xdr:twoCellAnchor>
  <xdr:twoCellAnchor>
    <xdr:from>
      <xdr:col>0</xdr:col>
      <xdr:colOff>34540</xdr:colOff>
      <xdr:row>32</xdr:row>
      <xdr:rowOff>159098</xdr:rowOff>
    </xdr:from>
    <xdr:to>
      <xdr:col>2</xdr:col>
      <xdr:colOff>406015</xdr:colOff>
      <xdr:row>35</xdr:row>
      <xdr:rowOff>132618</xdr:rowOff>
    </xdr:to>
    <xdr:sp macro="" textlink="">
      <xdr:nvSpPr>
        <xdr:cNvPr id="167" name="Rectangle 141">
          <a:extLst>
            <a:ext uri="{FF2B5EF4-FFF2-40B4-BE49-F238E27FC236}">
              <a16:creationId xmlns:a16="http://schemas.microsoft.com/office/drawing/2014/main" id="{00000000-0008-0000-0200-0000A7000000}"/>
            </a:ext>
          </a:extLst>
        </xdr:cNvPr>
        <xdr:cNvSpPr>
          <a:spLocks noChangeArrowheads="1"/>
        </xdr:cNvSpPr>
      </xdr:nvSpPr>
      <xdr:spPr bwMode="auto">
        <a:xfrm>
          <a:off x="34540" y="5778848"/>
          <a:ext cx="1587744" cy="457097"/>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010 - Machine griding</a:t>
          </a:r>
        </a:p>
      </xdr:txBody>
    </xdr:sp>
    <xdr:clientData/>
  </xdr:twoCellAnchor>
  <xdr:twoCellAnchor>
    <xdr:from>
      <xdr:col>0</xdr:col>
      <xdr:colOff>285750</xdr:colOff>
      <xdr:row>49</xdr:row>
      <xdr:rowOff>161925</xdr:rowOff>
    </xdr:from>
    <xdr:to>
      <xdr:col>3</xdr:col>
      <xdr:colOff>38100</xdr:colOff>
      <xdr:row>52</xdr:row>
      <xdr:rowOff>57150</xdr:rowOff>
    </xdr:to>
    <xdr:sp macro="" textlink="">
      <xdr:nvSpPr>
        <xdr:cNvPr id="168" name="Rectangle 107">
          <a:extLst>
            <a:ext uri="{FF2B5EF4-FFF2-40B4-BE49-F238E27FC236}">
              <a16:creationId xmlns:a16="http://schemas.microsoft.com/office/drawing/2014/main" id="{00000000-0008-0000-0200-0000A8000000}"/>
            </a:ext>
          </a:extLst>
        </xdr:cNvPr>
        <xdr:cNvSpPr>
          <a:spLocks noChangeArrowheads="1"/>
        </xdr:cNvSpPr>
      </xdr:nvSpPr>
      <xdr:spPr bwMode="auto">
        <a:xfrm>
          <a:off x="285750" y="8286750"/>
          <a:ext cx="1581150" cy="419100"/>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015 – Manual polishing</a:t>
          </a:r>
        </a:p>
      </xdr:txBody>
    </xdr:sp>
    <xdr:clientData/>
  </xdr:twoCellAnchor>
  <xdr:twoCellAnchor>
    <xdr:from>
      <xdr:col>5</xdr:col>
      <xdr:colOff>539994</xdr:colOff>
      <xdr:row>57</xdr:row>
      <xdr:rowOff>106972</xdr:rowOff>
    </xdr:from>
    <xdr:to>
      <xdr:col>8</xdr:col>
      <xdr:colOff>293809</xdr:colOff>
      <xdr:row>59</xdr:row>
      <xdr:rowOff>126022</xdr:rowOff>
    </xdr:to>
    <xdr:sp macro="" textlink="">
      <xdr:nvSpPr>
        <xdr:cNvPr id="169" name="Rectangle 107">
          <a:extLst>
            <a:ext uri="{FF2B5EF4-FFF2-40B4-BE49-F238E27FC236}">
              <a16:creationId xmlns:a16="http://schemas.microsoft.com/office/drawing/2014/main" id="{00000000-0008-0000-0200-0000A9000000}"/>
            </a:ext>
          </a:extLst>
        </xdr:cNvPr>
        <xdr:cNvSpPr>
          <a:spLocks noChangeArrowheads="1"/>
        </xdr:cNvSpPr>
      </xdr:nvSpPr>
      <xdr:spPr bwMode="auto">
        <a:xfrm>
          <a:off x="3580667" y="10012972"/>
          <a:ext cx="1578219" cy="414704"/>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018 – CNC Machining</a:t>
          </a:r>
        </a:p>
      </xdr:txBody>
    </xdr:sp>
    <xdr:clientData/>
  </xdr:twoCellAnchor>
  <xdr:twoCellAnchor>
    <xdr:from>
      <xdr:col>2</xdr:col>
      <xdr:colOff>366346</xdr:colOff>
      <xdr:row>25</xdr:row>
      <xdr:rowOff>57988</xdr:rowOff>
    </xdr:from>
    <xdr:to>
      <xdr:col>5</xdr:col>
      <xdr:colOff>129686</xdr:colOff>
      <xdr:row>28</xdr:row>
      <xdr:rowOff>66046</xdr:rowOff>
    </xdr:to>
    <xdr:sp macro="" textlink="">
      <xdr:nvSpPr>
        <xdr:cNvPr id="170" name="Rectangle 141">
          <a:extLst>
            <a:ext uri="{FF2B5EF4-FFF2-40B4-BE49-F238E27FC236}">
              <a16:creationId xmlns:a16="http://schemas.microsoft.com/office/drawing/2014/main" id="{00000000-0008-0000-0200-0000AA000000}"/>
            </a:ext>
          </a:extLst>
        </xdr:cNvPr>
        <xdr:cNvSpPr>
          <a:spLocks noChangeArrowheads="1"/>
        </xdr:cNvSpPr>
      </xdr:nvSpPr>
      <xdr:spPr bwMode="auto">
        <a:xfrm>
          <a:off x="1582615" y="4476123"/>
          <a:ext cx="1587744" cy="491635"/>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008 – Triming</a:t>
          </a:r>
        </a:p>
      </xdr:txBody>
    </xdr:sp>
    <xdr:clientData/>
  </xdr:twoCellAnchor>
  <xdr:twoCellAnchor>
    <xdr:from>
      <xdr:col>8</xdr:col>
      <xdr:colOff>492054</xdr:colOff>
      <xdr:row>29</xdr:row>
      <xdr:rowOff>156064</xdr:rowOff>
    </xdr:from>
    <xdr:to>
      <xdr:col>11</xdr:col>
      <xdr:colOff>236344</xdr:colOff>
      <xdr:row>32</xdr:row>
      <xdr:rowOff>117964</xdr:rowOff>
    </xdr:to>
    <xdr:sp macro="" textlink="">
      <xdr:nvSpPr>
        <xdr:cNvPr id="171" name="Rectangle 140">
          <a:extLst>
            <a:ext uri="{FF2B5EF4-FFF2-40B4-BE49-F238E27FC236}">
              <a16:creationId xmlns:a16="http://schemas.microsoft.com/office/drawing/2014/main" id="{00000000-0008-0000-0200-0000AB000000}"/>
            </a:ext>
          </a:extLst>
        </xdr:cNvPr>
        <xdr:cNvSpPr>
          <a:spLocks noChangeArrowheads="1"/>
        </xdr:cNvSpPr>
      </xdr:nvSpPr>
      <xdr:spPr bwMode="auto">
        <a:xfrm>
          <a:off x="5357131" y="5255602"/>
          <a:ext cx="1568694" cy="482112"/>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010 – Machine deburring - Trowal</a:t>
          </a:r>
        </a:p>
      </xdr:txBody>
    </xdr:sp>
    <xdr:clientData/>
  </xdr:twoCellAnchor>
  <xdr:twoCellAnchor>
    <xdr:from>
      <xdr:col>6</xdr:col>
      <xdr:colOff>88655</xdr:colOff>
      <xdr:row>51</xdr:row>
      <xdr:rowOff>145806</xdr:rowOff>
    </xdr:from>
    <xdr:to>
      <xdr:col>8</xdr:col>
      <xdr:colOff>449140</xdr:colOff>
      <xdr:row>54</xdr:row>
      <xdr:rowOff>41763</xdr:rowOff>
    </xdr:to>
    <xdr:sp macro="" textlink="">
      <xdr:nvSpPr>
        <xdr:cNvPr id="172" name="Rectangle 107">
          <a:extLst>
            <a:ext uri="{FF2B5EF4-FFF2-40B4-BE49-F238E27FC236}">
              <a16:creationId xmlns:a16="http://schemas.microsoft.com/office/drawing/2014/main" id="{00000000-0008-0000-0200-0000AC000000}"/>
            </a:ext>
          </a:extLst>
        </xdr:cNvPr>
        <xdr:cNvSpPr>
          <a:spLocks noChangeArrowheads="1"/>
        </xdr:cNvSpPr>
      </xdr:nvSpPr>
      <xdr:spPr bwMode="auto">
        <a:xfrm>
          <a:off x="3737463" y="8974748"/>
          <a:ext cx="1576754" cy="416169"/>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015 – Machining with Miyano</a:t>
          </a:r>
        </a:p>
      </xdr:txBody>
    </xdr:sp>
    <xdr:clientData/>
  </xdr:twoCellAnchor>
  <xdr:twoCellAnchor>
    <xdr:from>
      <xdr:col>0</xdr:col>
      <xdr:colOff>93785</xdr:colOff>
      <xdr:row>57</xdr:row>
      <xdr:rowOff>138479</xdr:rowOff>
    </xdr:from>
    <xdr:to>
      <xdr:col>2</xdr:col>
      <xdr:colOff>454270</xdr:colOff>
      <xdr:row>59</xdr:row>
      <xdr:rowOff>158994</xdr:rowOff>
    </xdr:to>
    <xdr:sp macro="" textlink="">
      <xdr:nvSpPr>
        <xdr:cNvPr id="173" name="Rectangle 107">
          <a:extLst>
            <a:ext uri="{FF2B5EF4-FFF2-40B4-BE49-F238E27FC236}">
              <a16:creationId xmlns:a16="http://schemas.microsoft.com/office/drawing/2014/main" id="{00000000-0008-0000-0200-0000AD000000}"/>
            </a:ext>
          </a:extLst>
        </xdr:cNvPr>
        <xdr:cNvSpPr>
          <a:spLocks noChangeArrowheads="1"/>
        </xdr:cNvSpPr>
      </xdr:nvSpPr>
      <xdr:spPr bwMode="auto">
        <a:xfrm>
          <a:off x="93785" y="10044479"/>
          <a:ext cx="1576754" cy="416169"/>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018 - Cleaning, control</a:t>
          </a:r>
        </a:p>
      </xdr:txBody>
    </xdr:sp>
    <xdr:clientData/>
  </xdr:twoCellAnchor>
  <xdr:twoCellAnchor>
    <xdr:from>
      <xdr:col>0</xdr:col>
      <xdr:colOff>56417</xdr:colOff>
      <xdr:row>35</xdr:row>
      <xdr:rowOff>150935</xdr:rowOff>
    </xdr:from>
    <xdr:to>
      <xdr:col>2</xdr:col>
      <xdr:colOff>427892</xdr:colOff>
      <xdr:row>38</xdr:row>
      <xdr:rowOff>122359</xdr:rowOff>
    </xdr:to>
    <xdr:sp macro="" textlink="">
      <xdr:nvSpPr>
        <xdr:cNvPr id="174" name="Rectangle 141">
          <a:extLst>
            <a:ext uri="{FF2B5EF4-FFF2-40B4-BE49-F238E27FC236}">
              <a16:creationId xmlns:a16="http://schemas.microsoft.com/office/drawing/2014/main" id="{00000000-0008-0000-0200-0000AE000000}"/>
            </a:ext>
          </a:extLst>
        </xdr:cNvPr>
        <xdr:cNvSpPr>
          <a:spLocks noChangeArrowheads="1"/>
        </xdr:cNvSpPr>
      </xdr:nvSpPr>
      <xdr:spPr bwMode="auto">
        <a:xfrm>
          <a:off x="56417" y="6254262"/>
          <a:ext cx="1587744" cy="455001"/>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010 - Cutting</a:t>
          </a:r>
        </a:p>
      </xdr:txBody>
    </xdr:sp>
    <xdr:clientData/>
  </xdr:twoCellAnchor>
  <xdr:twoCellAnchor>
    <xdr:from>
      <xdr:col>8</xdr:col>
      <xdr:colOff>586886</xdr:colOff>
      <xdr:row>50</xdr:row>
      <xdr:rowOff>9525</xdr:rowOff>
    </xdr:from>
    <xdr:to>
      <xdr:col>11</xdr:col>
      <xdr:colOff>331176</xdr:colOff>
      <xdr:row>52</xdr:row>
      <xdr:rowOff>93784</xdr:rowOff>
    </xdr:to>
    <xdr:sp macro="" textlink="">
      <xdr:nvSpPr>
        <xdr:cNvPr id="175" name="Rectangle 140">
          <a:extLst>
            <a:ext uri="{FF2B5EF4-FFF2-40B4-BE49-F238E27FC236}">
              <a16:creationId xmlns:a16="http://schemas.microsoft.com/office/drawing/2014/main" id="{00000000-0008-0000-0200-0000AF000000}"/>
            </a:ext>
          </a:extLst>
        </xdr:cNvPr>
        <xdr:cNvSpPr>
          <a:spLocks noChangeArrowheads="1"/>
        </xdr:cNvSpPr>
      </xdr:nvSpPr>
      <xdr:spPr bwMode="auto">
        <a:xfrm>
          <a:off x="5451963" y="8640640"/>
          <a:ext cx="1568694" cy="443279"/>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015 – Hole calibration and griding</a:t>
          </a:r>
        </a:p>
      </xdr:txBody>
    </xdr:sp>
    <xdr:clientData/>
  </xdr:twoCellAnchor>
  <xdr:twoCellAnchor>
    <xdr:from>
      <xdr:col>3</xdr:col>
      <xdr:colOff>15491</xdr:colOff>
      <xdr:row>41</xdr:row>
      <xdr:rowOff>97972</xdr:rowOff>
    </xdr:from>
    <xdr:to>
      <xdr:col>5</xdr:col>
      <xdr:colOff>386966</xdr:colOff>
      <xdr:row>44</xdr:row>
      <xdr:rowOff>142667</xdr:rowOff>
    </xdr:to>
    <xdr:sp macro="" textlink="">
      <xdr:nvSpPr>
        <xdr:cNvPr id="176" name="Rectangle 141">
          <a:extLst>
            <a:ext uri="{FF2B5EF4-FFF2-40B4-BE49-F238E27FC236}">
              <a16:creationId xmlns:a16="http://schemas.microsoft.com/office/drawing/2014/main" id="{00000000-0008-0000-0200-0000B0000000}"/>
            </a:ext>
          </a:extLst>
        </xdr:cNvPr>
        <xdr:cNvSpPr>
          <a:spLocks noChangeArrowheads="1"/>
        </xdr:cNvSpPr>
      </xdr:nvSpPr>
      <xdr:spPr bwMode="auto">
        <a:xfrm>
          <a:off x="1839895" y="7205087"/>
          <a:ext cx="1587744" cy="528272"/>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013 - Machine griding</a:t>
          </a:r>
        </a:p>
      </xdr:txBody>
    </xdr:sp>
    <xdr:clientData/>
  </xdr:twoCellAnchor>
  <xdr:twoCellAnchor>
    <xdr:from>
      <xdr:col>0</xdr:col>
      <xdr:colOff>228600</xdr:colOff>
      <xdr:row>46</xdr:row>
      <xdr:rowOff>152400</xdr:rowOff>
    </xdr:from>
    <xdr:to>
      <xdr:col>2</xdr:col>
      <xdr:colOff>590550</xdr:colOff>
      <xdr:row>49</xdr:row>
      <xdr:rowOff>85725</xdr:rowOff>
    </xdr:to>
    <xdr:sp macro="" textlink="">
      <xdr:nvSpPr>
        <xdr:cNvPr id="177" name="Rectangle 107">
          <a:extLst>
            <a:ext uri="{FF2B5EF4-FFF2-40B4-BE49-F238E27FC236}">
              <a16:creationId xmlns:a16="http://schemas.microsoft.com/office/drawing/2014/main" id="{00000000-0008-0000-0200-0000B1000000}"/>
            </a:ext>
          </a:extLst>
        </xdr:cNvPr>
        <xdr:cNvSpPr>
          <a:spLocks noChangeArrowheads="1"/>
        </xdr:cNvSpPr>
      </xdr:nvSpPr>
      <xdr:spPr bwMode="auto">
        <a:xfrm>
          <a:off x="228600" y="7791450"/>
          <a:ext cx="1581150" cy="419100"/>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015 – Visual control and check</a:t>
          </a:r>
        </a:p>
      </xdr:txBody>
    </xdr:sp>
    <xdr:clientData/>
  </xdr:twoCellAnchor>
  <xdr:twoCellAnchor>
    <xdr:from>
      <xdr:col>6</xdr:col>
      <xdr:colOff>366346</xdr:colOff>
      <xdr:row>63</xdr:row>
      <xdr:rowOff>7326</xdr:rowOff>
    </xdr:from>
    <xdr:to>
      <xdr:col>9</xdr:col>
      <xdr:colOff>110636</xdr:colOff>
      <xdr:row>65</xdr:row>
      <xdr:rowOff>54951</xdr:rowOff>
    </xdr:to>
    <xdr:sp macro="" textlink="">
      <xdr:nvSpPr>
        <xdr:cNvPr id="178" name="Rectangle 140">
          <a:extLst>
            <a:ext uri="{FF2B5EF4-FFF2-40B4-BE49-F238E27FC236}">
              <a16:creationId xmlns:a16="http://schemas.microsoft.com/office/drawing/2014/main" id="{00000000-0008-0000-0200-0000B2000000}"/>
            </a:ext>
          </a:extLst>
        </xdr:cNvPr>
        <xdr:cNvSpPr>
          <a:spLocks noChangeArrowheads="1"/>
        </xdr:cNvSpPr>
      </xdr:nvSpPr>
      <xdr:spPr bwMode="auto">
        <a:xfrm>
          <a:off x="4015154" y="11063653"/>
          <a:ext cx="1568694" cy="443279"/>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020 – Machine deburring - Trowal</a:t>
          </a:r>
        </a:p>
      </xdr:txBody>
    </xdr:sp>
    <xdr:clientData/>
  </xdr:twoCellAnchor>
  <xdr:twoCellAnchor>
    <xdr:from>
      <xdr:col>3</xdr:col>
      <xdr:colOff>315580</xdr:colOff>
      <xdr:row>13</xdr:row>
      <xdr:rowOff>23447</xdr:rowOff>
    </xdr:from>
    <xdr:to>
      <xdr:col>6</xdr:col>
      <xdr:colOff>81641</xdr:colOff>
      <xdr:row>15</xdr:row>
      <xdr:rowOff>86878</xdr:rowOff>
    </xdr:to>
    <xdr:sp macro="" textlink="">
      <xdr:nvSpPr>
        <xdr:cNvPr id="179" name="Rectangle 141">
          <a:extLst>
            <a:ext uri="{FF2B5EF4-FFF2-40B4-BE49-F238E27FC236}">
              <a16:creationId xmlns:a16="http://schemas.microsoft.com/office/drawing/2014/main" id="{00000000-0008-0000-0200-0000B3000000}"/>
            </a:ext>
          </a:extLst>
        </xdr:cNvPr>
        <xdr:cNvSpPr>
          <a:spLocks noChangeArrowheads="1"/>
        </xdr:cNvSpPr>
      </xdr:nvSpPr>
      <xdr:spPr bwMode="auto">
        <a:xfrm>
          <a:off x="2139984" y="2360735"/>
          <a:ext cx="1590465" cy="459085"/>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002 – Machine deburring - Trowal</a:t>
          </a:r>
        </a:p>
      </xdr:txBody>
    </xdr:sp>
    <xdr:clientData/>
  </xdr:twoCellAnchor>
  <xdr:twoCellAnchor>
    <xdr:from>
      <xdr:col>9</xdr:col>
      <xdr:colOff>133559</xdr:colOff>
      <xdr:row>19</xdr:row>
      <xdr:rowOff>108751</xdr:rowOff>
    </xdr:from>
    <xdr:to>
      <xdr:col>11</xdr:col>
      <xdr:colOff>507755</xdr:colOff>
      <xdr:row>22</xdr:row>
      <xdr:rowOff>111891</xdr:rowOff>
    </xdr:to>
    <xdr:sp macro="" textlink="">
      <xdr:nvSpPr>
        <xdr:cNvPr id="180" name="Rectangle 141">
          <a:extLst>
            <a:ext uri="{FF2B5EF4-FFF2-40B4-BE49-F238E27FC236}">
              <a16:creationId xmlns:a16="http://schemas.microsoft.com/office/drawing/2014/main" id="{00000000-0008-0000-0200-0000B4000000}"/>
            </a:ext>
          </a:extLst>
        </xdr:cNvPr>
        <xdr:cNvSpPr>
          <a:spLocks noChangeArrowheads="1"/>
        </xdr:cNvSpPr>
      </xdr:nvSpPr>
      <xdr:spPr bwMode="auto">
        <a:xfrm>
          <a:off x="5606771" y="3486463"/>
          <a:ext cx="1590465" cy="486716"/>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005 – Die Casting and Manual lubrication</a:t>
          </a:r>
        </a:p>
      </xdr:txBody>
    </xdr:sp>
    <xdr:clientData/>
  </xdr:twoCellAnchor>
  <xdr:twoCellAnchor>
    <xdr:from>
      <xdr:col>15</xdr:col>
      <xdr:colOff>73269</xdr:colOff>
      <xdr:row>7</xdr:row>
      <xdr:rowOff>36635</xdr:rowOff>
    </xdr:from>
    <xdr:to>
      <xdr:col>20</xdr:col>
      <xdr:colOff>546992</xdr:colOff>
      <xdr:row>10</xdr:row>
      <xdr:rowOff>133802</xdr:rowOff>
    </xdr:to>
    <xdr:grpSp>
      <xdr:nvGrpSpPr>
        <xdr:cNvPr id="4" name="Skupina 3">
          <a:extLst>
            <a:ext uri="{FF2B5EF4-FFF2-40B4-BE49-F238E27FC236}">
              <a16:creationId xmlns:a16="http://schemas.microsoft.com/office/drawing/2014/main" id="{00000000-0008-0000-0200-000004000000}"/>
            </a:ext>
          </a:extLst>
        </xdr:cNvPr>
        <xdr:cNvGrpSpPr/>
      </xdr:nvGrpSpPr>
      <xdr:grpSpPr>
        <a:xfrm>
          <a:off x="9195288" y="1333500"/>
          <a:ext cx="3514396" cy="580744"/>
          <a:chOff x="3040673" y="4696558"/>
          <a:chExt cx="3514396" cy="580744"/>
        </a:xfrm>
      </xdr:grpSpPr>
      <xdr:sp macro="" textlink="">
        <xdr:nvSpPr>
          <xdr:cNvPr id="189" name="AutoShape 150">
            <a:extLst>
              <a:ext uri="{FF2B5EF4-FFF2-40B4-BE49-F238E27FC236}">
                <a16:creationId xmlns:a16="http://schemas.microsoft.com/office/drawing/2014/main" id="{00000000-0008-0000-0200-0000BD000000}"/>
              </a:ext>
            </a:extLst>
          </xdr:cNvPr>
          <xdr:cNvSpPr>
            <a:spLocks noChangeArrowheads="1"/>
          </xdr:cNvSpPr>
        </xdr:nvSpPr>
        <xdr:spPr bwMode="auto">
          <a:xfrm rot="10800000">
            <a:off x="5169017" y="4696558"/>
            <a:ext cx="97971" cy="153761"/>
          </a:xfrm>
          <a:prstGeom prst="upArrow">
            <a:avLst>
              <a:gd name="adj1" fmla="val 50000"/>
              <a:gd name="adj2" fmla="val 72917"/>
            </a:avLst>
          </a:prstGeom>
          <a:solidFill>
            <a:srgbClr val="CFE7F5"/>
          </a:solidFill>
          <a:ln w="9525">
            <a:solidFill>
              <a:srgbClr val="808080"/>
            </a:solidFill>
            <a:round/>
            <a:headEnd/>
            <a:tailEnd/>
          </a:ln>
        </xdr:spPr>
      </xdr:sp>
      <xdr:sp macro="" textlink="">
        <xdr:nvSpPr>
          <xdr:cNvPr id="190" name="AutoShape 126">
            <a:extLst>
              <a:ext uri="{FF2B5EF4-FFF2-40B4-BE49-F238E27FC236}">
                <a16:creationId xmlns:a16="http://schemas.microsoft.com/office/drawing/2014/main" id="{00000000-0008-0000-0200-0000BE000000}"/>
              </a:ext>
            </a:extLst>
          </xdr:cNvPr>
          <xdr:cNvSpPr>
            <a:spLocks noChangeArrowheads="1"/>
          </xdr:cNvSpPr>
        </xdr:nvSpPr>
        <xdr:spPr bwMode="auto">
          <a:xfrm>
            <a:off x="5024500" y="4880489"/>
            <a:ext cx="381000" cy="221796"/>
          </a:xfrm>
          <a:prstGeom prst="diamond">
            <a:avLst/>
          </a:prstGeom>
          <a:solidFill>
            <a:srgbClr val="99FFCC"/>
          </a:solidFill>
          <a:ln w="9525">
            <a:solidFill>
              <a:srgbClr val="808080"/>
            </a:solidFill>
            <a:round/>
            <a:headEnd/>
            <a:tailEnd/>
          </a:ln>
        </xdr:spPr>
        <xdr:txBody>
          <a:bodyPr vertOverflow="clip" wrap="square" lIns="0" tIns="0" rIns="0" bIns="0" anchor="ctr"/>
          <a:lstStyle/>
          <a:p>
            <a:pPr algn="ctr" rtl="0">
              <a:defRPr sz="1000"/>
            </a:pPr>
            <a:r>
              <a:rPr lang="sl-SI" sz="600" b="1" i="0" u="none" strike="noStrike" baseline="0">
                <a:solidFill>
                  <a:srgbClr val="000000"/>
                </a:solidFill>
                <a:latin typeface="Times New Roman"/>
                <a:cs typeface="Times New Roman"/>
              </a:rPr>
              <a:t>o.k</a:t>
            </a:r>
            <a:r>
              <a:rPr lang="sl-SI" sz="800" b="1" i="0" u="none" strike="noStrike" baseline="0">
                <a:solidFill>
                  <a:srgbClr val="000000"/>
                </a:solidFill>
                <a:latin typeface="Times New Roman"/>
                <a:cs typeface="Times New Roman"/>
              </a:rPr>
              <a:t>.</a:t>
            </a:r>
          </a:p>
        </xdr:txBody>
      </xdr:sp>
      <xdr:sp macro="" textlink="">
        <xdr:nvSpPr>
          <xdr:cNvPr id="191" name="AutoShape 150">
            <a:extLst>
              <a:ext uri="{FF2B5EF4-FFF2-40B4-BE49-F238E27FC236}">
                <a16:creationId xmlns:a16="http://schemas.microsoft.com/office/drawing/2014/main" id="{00000000-0008-0000-0200-0000BF000000}"/>
              </a:ext>
            </a:extLst>
          </xdr:cNvPr>
          <xdr:cNvSpPr>
            <a:spLocks noChangeArrowheads="1"/>
          </xdr:cNvSpPr>
        </xdr:nvSpPr>
        <xdr:spPr bwMode="auto">
          <a:xfrm rot="10800000">
            <a:off x="5169017" y="5123541"/>
            <a:ext cx="97971" cy="153761"/>
          </a:xfrm>
          <a:prstGeom prst="upArrow">
            <a:avLst>
              <a:gd name="adj1" fmla="val 50000"/>
              <a:gd name="adj2" fmla="val 72917"/>
            </a:avLst>
          </a:prstGeom>
          <a:solidFill>
            <a:srgbClr val="CFE7F5"/>
          </a:solidFill>
          <a:ln w="9525">
            <a:solidFill>
              <a:srgbClr val="808080"/>
            </a:solidFill>
            <a:round/>
            <a:headEnd/>
            <a:tailEnd/>
          </a:ln>
        </xdr:spPr>
      </xdr:sp>
      <xdr:sp macro="" textlink="">
        <xdr:nvSpPr>
          <xdr:cNvPr id="192" name="AutoShape 130">
            <a:extLst>
              <a:ext uri="{FF2B5EF4-FFF2-40B4-BE49-F238E27FC236}">
                <a16:creationId xmlns:a16="http://schemas.microsoft.com/office/drawing/2014/main" id="{00000000-0008-0000-0200-0000C0000000}"/>
              </a:ext>
            </a:extLst>
          </xdr:cNvPr>
          <xdr:cNvSpPr>
            <a:spLocks noChangeArrowheads="1"/>
          </xdr:cNvSpPr>
        </xdr:nvSpPr>
        <xdr:spPr bwMode="auto">
          <a:xfrm>
            <a:off x="4282207" y="4946179"/>
            <a:ext cx="704850" cy="96610"/>
          </a:xfrm>
          <a:prstGeom prst="leftArrow">
            <a:avLst>
              <a:gd name="adj1" fmla="val 50000"/>
              <a:gd name="adj2" fmla="val 185000"/>
            </a:avLst>
          </a:prstGeom>
          <a:solidFill>
            <a:srgbClr val="FF6600"/>
          </a:solidFill>
          <a:ln w="9525">
            <a:solidFill>
              <a:srgbClr val="808080"/>
            </a:solidFill>
            <a:round/>
            <a:headEnd/>
            <a:tailEnd/>
          </a:ln>
        </xdr:spPr>
      </xdr:sp>
      <xdr:sp macro="" textlink="">
        <xdr:nvSpPr>
          <xdr:cNvPr id="193" name="Oval 19">
            <a:extLst>
              <a:ext uri="{FF2B5EF4-FFF2-40B4-BE49-F238E27FC236}">
                <a16:creationId xmlns:a16="http://schemas.microsoft.com/office/drawing/2014/main" id="{00000000-0008-0000-0200-0000C1000000}"/>
              </a:ext>
            </a:extLst>
          </xdr:cNvPr>
          <xdr:cNvSpPr>
            <a:spLocks noChangeArrowheads="1"/>
          </xdr:cNvSpPr>
        </xdr:nvSpPr>
        <xdr:spPr bwMode="auto">
          <a:xfrm>
            <a:off x="3796104" y="4919902"/>
            <a:ext cx="419100" cy="154699"/>
          </a:xfrm>
          <a:prstGeom prst="ellipse">
            <a:avLst/>
          </a:prstGeom>
          <a:solidFill>
            <a:srgbClr val="CFE7F5"/>
          </a:solidFill>
          <a:ln w="9525">
            <a:solidFill>
              <a:srgbClr val="808080"/>
            </a:solidFill>
            <a:round/>
            <a:headEnd/>
            <a:tailEnd/>
          </a:ln>
        </xdr:spPr>
      </xdr:sp>
      <xdr:sp macro="" textlink="">
        <xdr:nvSpPr>
          <xdr:cNvPr id="194" name="AutoShape 130">
            <a:extLst>
              <a:ext uri="{FF2B5EF4-FFF2-40B4-BE49-F238E27FC236}">
                <a16:creationId xmlns:a16="http://schemas.microsoft.com/office/drawing/2014/main" id="{00000000-0008-0000-0200-0000C2000000}"/>
              </a:ext>
            </a:extLst>
          </xdr:cNvPr>
          <xdr:cNvSpPr>
            <a:spLocks noChangeArrowheads="1"/>
          </xdr:cNvSpPr>
        </xdr:nvSpPr>
        <xdr:spPr bwMode="auto">
          <a:xfrm>
            <a:off x="3040673" y="4946179"/>
            <a:ext cx="704850" cy="96610"/>
          </a:xfrm>
          <a:prstGeom prst="leftArrow">
            <a:avLst>
              <a:gd name="adj1" fmla="val 50000"/>
              <a:gd name="adj2" fmla="val 185000"/>
            </a:avLst>
          </a:prstGeom>
          <a:solidFill>
            <a:srgbClr val="FF6600"/>
          </a:solidFill>
          <a:ln w="9525">
            <a:solidFill>
              <a:srgbClr val="808080"/>
            </a:solidFill>
            <a:round/>
            <a:headEnd/>
            <a:tailEnd/>
          </a:ln>
        </xdr:spPr>
      </xdr:sp>
      <xdr:sp macro="" textlink="">
        <xdr:nvSpPr>
          <xdr:cNvPr id="195" name="AutoShape 17">
            <a:extLst>
              <a:ext uri="{FF2B5EF4-FFF2-40B4-BE49-F238E27FC236}">
                <a16:creationId xmlns:a16="http://schemas.microsoft.com/office/drawing/2014/main" id="{00000000-0008-0000-0200-0000C3000000}"/>
              </a:ext>
            </a:extLst>
          </xdr:cNvPr>
          <xdr:cNvSpPr>
            <a:spLocks noChangeArrowheads="1"/>
          </xdr:cNvSpPr>
        </xdr:nvSpPr>
        <xdr:spPr bwMode="auto">
          <a:xfrm>
            <a:off x="5451483" y="4939610"/>
            <a:ext cx="1103586" cy="101105"/>
          </a:xfrm>
          <a:prstGeom prst="rightArrow">
            <a:avLst>
              <a:gd name="adj1" fmla="val 50000"/>
              <a:gd name="adj2" fmla="val 75000"/>
            </a:avLst>
          </a:prstGeom>
          <a:solidFill>
            <a:srgbClr val="CFE7F5"/>
          </a:solidFill>
          <a:ln w="9525">
            <a:solidFill>
              <a:srgbClr val="808080"/>
            </a:solidFill>
            <a:round/>
            <a:headEnd/>
            <a:tailEnd/>
          </a:ln>
        </xdr:spPr>
      </xdr:sp>
      <xdr:sp macro="" textlink="">
        <xdr:nvSpPr>
          <xdr:cNvPr id="196" name="Rectangle 117">
            <a:extLst>
              <a:ext uri="{FF2B5EF4-FFF2-40B4-BE49-F238E27FC236}">
                <a16:creationId xmlns:a16="http://schemas.microsoft.com/office/drawing/2014/main" id="{00000000-0008-0000-0200-0000C4000000}"/>
              </a:ext>
            </a:extLst>
          </xdr:cNvPr>
          <xdr:cNvSpPr>
            <a:spLocks noChangeArrowheads="1"/>
          </xdr:cNvSpPr>
        </xdr:nvSpPr>
        <xdr:spPr bwMode="auto">
          <a:xfrm>
            <a:off x="4702621" y="4801661"/>
            <a:ext cx="266700" cy="132617"/>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000" b="0" i="0" u="none" strike="noStrike" baseline="0">
                <a:solidFill>
                  <a:srgbClr val="000000"/>
                </a:solidFill>
                <a:latin typeface="Times New Roman"/>
                <a:cs typeface="Times New Roman"/>
              </a:rPr>
              <a:t>NO</a:t>
            </a:r>
          </a:p>
        </xdr:txBody>
      </xdr:sp>
    </xdr:grpSp>
    <xdr:clientData/>
  </xdr:twoCellAnchor>
  <xdr:twoCellAnchor>
    <xdr:from>
      <xdr:col>3</xdr:col>
      <xdr:colOff>439617</xdr:colOff>
      <xdr:row>19</xdr:row>
      <xdr:rowOff>131883</xdr:rowOff>
    </xdr:from>
    <xdr:to>
      <xdr:col>6</xdr:col>
      <xdr:colOff>205678</xdr:colOff>
      <xdr:row>22</xdr:row>
      <xdr:rowOff>135025</xdr:rowOff>
    </xdr:to>
    <xdr:sp macro="" textlink="">
      <xdr:nvSpPr>
        <xdr:cNvPr id="60" name="Rectangle 141">
          <a:extLst>
            <a:ext uri="{FF2B5EF4-FFF2-40B4-BE49-F238E27FC236}">
              <a16:creationId xmlns:a16="http://schemas.microsoft.com/office/drawing/2014/main" id="{00000000-0008-0000-0200-00003C000000}"/>
            </a:ext>
          </a:extLst>
        </xdr:cNvPr>
        <xdr:cNvSpPr>
          <a:spLocks noChangeArrowheads="1"/>
        </xdr:cNvSpPr>
      </xdr:nvSpPr>
      <xdr:spPr bwMode="auto">
        <a:xfrm>
          <a:off x="2264021" y="3509595"/>
          <a:ext cx="1590465" cy="486718"/>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005 – Die Casting and Manual withdrawal</a:t>
          </a:r>
        </a:p>
      </xdr:txBody>
    </xdr:sp>
    <xdr:clientData/>
  </xdr:twoCellAnchor>
  <xdr:twoCellAnchor>
    <xdr:from>
      <xdr:col>3</xdr:col>
      <xdr:colOff>518745</xdr:colOff>
      <xdr:row>7</xdr:row>
      <xdr:rowOff>49090</xdr:rowOff>
    </xdr:from>
    <xdr:to>
      <xdr:col>6</xdr:col>
      <xdr:colOff>280620</xdr:colOff>
      <xdr:row>10</xdr:row>
      <xdr:rowOff>19782</xdr:rowOff>
    </xdr:to>
    <xdr:sp macro="" textlink="">
      <xdr:nvSpPr>
        <xdr:cNvPr id="61" name="Rectangle 141">
          <a:extLst>
            <a:ext uri="{FF2B5EF4-FFF2-40B4-BE49-F238E27FC236}">
              <a16:creationId xmlns:a16="http://schemas.microsoft.com/office/drawing/2014/main" id="{00000000-0008-0000-0200-00003D000000}"/>
            </a:ext>
          </a:extLst>
        </xdr:cNvPr>
        <xdr:cNvSpPr>
          <a:spLocks noChangeArrowheads="1"/>
        </xdr:cNvSpPr>
      </xdr:nvSpPr>
      <xdr:spPr bwMode="auto">
        <a:xfrm>
          <a:off x="2343149" y="1345955"/>
          <a:ext cx="1586279" cy="454269"/>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001 – Die Casting and Cutting</a:t>
          </a:r>
        </a:p>
      </xdr:txBody>
    </xdr:sp>
    <xdr:clientData/>
  </xdr:twoCellAnchor>
  <xdr:twoCellAnchor>
    <xdr:from>
      <xdr:col>9</xdr:col>
      <xdr:colOff>25747</xdr:colOff>
      <xdr:row>32</xdr:row>
      <xdr:rowOff>128325</xdr:rowOff>
    </xdr:from>
    <xdr:to>
      <xdr:col>11</xdr:col>
      <xdr:colOff>397222</xdr:colOff>
      <xdr:row>35</xdr:row>
      <xdr:rowOff>138479</xdr:rowOff>
    </xdr:to>
    <xdr:sp macro="" textlink="">
      <xdr:nvSpPr>
        <xdr:cNvPr id="62" name="Rectangle 141">
          <a:extLst>
            <a:ext uri="{FF2B5EF4-FFF2-40B4-BE49-F238E27FC236}">
              <a16:creationId xmlns:a16="http://schemas.microsoft.com/office/drawing/2014/main" id="{00000000-0008-0000-0200-00003E000000}"/>
            </a:ext>
          </a:extLst>
        </xdr:cNvPr>
        <xdr:cNvSpPr>
          <a:spLocks noChangeArrowheads="1"/>
        </xdr:cNvSpPr>
      </xdr:nvSpPr>
      <xdr:spPr bwMode="auto">
        <a:xfrm>
          <a:off x="5498959" y="5748075"/>
          <a:ext cx="1587744" cy="493731"/>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010 - Manual breaking and sawing</a:t>
          </a:r>
        </a:p>
      </xdr:txBody>
    </xdr:sp>
    <xdr:clientData/>
  </xdr:twoCellAnchor>
  <xdr:twoCellAnchor>
    <xdr:from>
      <xdr:col>3</xdr:col>
      <xdr:colOff>89389</xdr:colOff>
      <xdr:row>48</xdr:row>
      <xdr:rowOff>83528</xdr:rowOff>
    </xdr:from>
    <xdr:to>
      <xdr:col>5</xdr:col>
      <xdr:colOff>451339</xdr:colOff>
      <xdr:row>51</xdr:row>
      <xdr:rowOff>16853</xdr:rowOff>
    </xdr:to>
    <xdr:sp macro="" textlink="">
      <xdr:nvSpPr>
        <xdr:cNvPr id="63" name="Rectangle 107">
          <a:extLst>
            <a:ext uri="{FF2B5EF4-FFF2-40B4-BE49-F238E27FC236}">
              <a16:creationId xmlns:a16="http://schemas.microsoft.com/office/drawing/2014/main" id="{00000000-0008-0000-0200-00003F000000}"/>
            </a:ext>
          </a:extLst>
        </xdr:cNvPr>
        <xdr:cNvSpPr>
          <a:spLocks noChangeArrowheads="1"/>
        </xdr:cNvSpPr>
      </xdr:nvSpPr>
      <xdr:spPr bwMode="auto">
        <a:xfrm>
          <a:off x="1913793" y="8392259"/>
          <a:ext cx="1578219" cy="453536"/>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015 – Machine processing with Miyano</a:t>
          </a:r>
        </a:p>
      </xdr:txBody>
    </xdr:sp>
    <xdr:clientData/>
  </xdr:twoCellAnchor>
  <xdr:twoCellAnchor>
    <xdr:from>
      <xdr:col>3</xdr:col>
      <xdr:colOff>14654</xdr:colOff>
      <xdr:row>57</xdr:row>
      <xdr:rowOff>146538</xdr:rowOff>
    </xdr:from>
    <xdr:to>
      <xdr:col>5</xdr:col>
      <xdr:colOff>375139</xdr:colOff>
      <xdr:row>59</xdr:row>
      <xdr:rowOff>166321</xdr:rowOff>
    </xdr:to>
    <xdr:sp macro="" textlink="">
      <xdr:nvSpPr>
        <xdr:cNvPr id="64" name="Rectangle 107">
          <a:extLst>
            <a:ext uri="{FF2B5EF4-FFF2-40B4-BE49-F238E27FC236}">
              <a16:creationId xmlns:a16="http://schemas.microsoft.com/office/drawing/2014/main" id="{00000000-0008-0000-0200-000040000000}"/>
            </a:ext>
          </a:extLst>
        </xdr:cNvPr>
        <xdr:cNvSpPr>
          <a:spLocks noChangeArrowheads="1"/>
        </xdr:cNvSpPr>
      </xdr:nvSpPr>
      <xdr:spPr bwMode="auto">
        <a:xfrm>
          <a:off x="1839058" y="10052538"/>
          <a:ext cx="1576754" cy="415437"/>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018 – Cleaning, check and disinfection</a:t>
          </a:r>
        </a:p>
      </xdr:txBody>
    </xdr:sp>
    <xdr:clientData/>
  </xdr:twoCellAnchor>
  <xdr:twoCellAnchor>
    <xdr:from>
      <xdr:col>3</xdr:col>
      <xdr:colOff>322385</xdr:colOff>
      <xdr:row>62</xdr:row>
      <xdr:rowOff>172916</xdr:rowOff>
    </xdr:from>
    <xdr:to>
      <xdr:col>6</xdr:col>
      <xdr:colOff>66675</xdr:colOff>
      <xdr:row>65</xdr:row>
      <xdr:rowOff>22713</xdr:rowOff>
    </xdr:to>
    <xdr:sp macro="" textlink="">
      <xdr:nvSpPr>
        <xdr:cNvPr id="65" name="Rectangle 140">
          <a:extLst>
            <a:ext uri="{FF2B5EF4-FFF2-40B4-BE49-F238E27FC236}">
              <a16:creationId xmlns:a16="http://schemas.microsoft.com/office/drawing/2014/main" id="{00000000-0008-0000-0200-000041000000}"/>
            </a:ext>
          </a:extLst>
        </xdr:cNvPr>
        <xdr:cNvSpPr>
          <a:spLocks noChangeArrowheads="1"/>
        </xdr:cNvSpPr>
      </xdr:nvSpPr>
      <xdr:spPr bwMode="auto">
        <a:xfrm>
          <a:off x="2146789" y="11031416"/>
          <a:ext cx="1568694" cy="443278"/>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020 – Manual polishing</a:t>
          </a:r>
        </a:p>
      </xdr:txBody>
    </xdr:sp>
    <xdr:clientData/>
  </xdr:twoCellAnchor>
  <xdr:twoCellAnchor>
    <xdr:from>
      <xdr:col>5</xdr:col>
      <xdr:colOff>600808</xdr:colOff>
      <xdr:row>48</xdr:row>
      <xdr:rowOff>102577</xdr:rowOff>
    </xdr:from>
    <xdr:to>
      <xdr:col>8</xdr:col>
      <xdr:colOff>354623</xdr:colOff>
      <xdr:row>51</xdr:row>
      <xdr:rowOff>54953</xdr:rowOff>
    </xdr:to>
    <xdr:sp macro="" textlink="">
      <xdr:nvSpPr>
        <xdr:cNvPr id="66" name="Rectangle 82">
          <a:extLst>
            <a:ext uri="{FF2B5EF4-FFF2-40B4-BE49-F238E27FC236}">
              <a16:creationId xmlns:a16="http://schemas.microsoft.com/office/drawing/2014/main" id="{00000000-0008-0000-0200-000042000000}"/>
            </a:ext>
          </a:extLst>
        </xdr:cNvPr>
        <xdr:cNvSpPr>
          <a:spLocks noChangeArrowheads="1"/>
        </xdr:cNvSpPr>
      </xdr:nvSpPr>
      <xdr:spPr bwMode="auto">
        <a:xfrm>
          <a:off x="3641481" y="8411308"/>
          <a:ext cx="1578219" cy="472587"/>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015 – 100% Visual control and packaging</a:t>
          </a:r>
        </a:p>
      </xdr:txBody>
    </xdr:sp>
    <xdr:clientData/>
  </xdr:twoCellAnchor>
  <xdr:twoCellAnchor>
    <xdr:from>
      <xdr:col>8</xdr:col>
      <xdr:colOff>578826</xdr:colOff>
      <xdr:row>46</xdr:row>
      <xdr:rowOff>183172</xdr:rowOff>
    </xdr:from>
    <xdr:to>
      <xdr:col>11</xdr:col>
      <xdr:colOff>323116</xdr:colOff>
      <xdr:row>49</xdr:row>
      <xdr:rowOff>106239</xdr:rowOff>
    </xdr:to>
    <xdr:sp macro="" textlink="">
      <xdr:nvSpPr>
        <xdr:cNvPr id="67" name="Rectangle 140">
          <a:extLst>
            <a:ext uri="{FF2B5EF4-FFF2-40B4-BE49-F238E27FC236}">
              <a16:creationId xmlns:a16="http://schemas.microsoft.com/office/drawing/2014/main" id="{00000000-0008-0000-0200-000043000000}"/>
            </a:ext>
          </a:extLst>
        </xdr:cNvPr>
        <xdr:cNvSpPr>
          <a:spLocks noChangeArrowheads="1"/>
        </xdr:cNvSpPr>
      </xdr:nvSpPr>
      <xdr:spPr bwMode="auto">
        <a:xfrm>
          <a:off x="5443903" y="8132884"/>
          <a:ext cx="1568694" cy="443278"/>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015 – Machine deburring - Trowal</a:t>
          </a:r>
        </a:p>
      </xdr:txBody>
    </xdr:sp>
    <xdr:clientData/>
  </xdr:twoCellAnchor>
  <xdr:twoCellAnchor>
    <xdr:from>
      <xdr:col>6</xdr:col>
      <xdr:colOff>175846</xdr:colOff>
      <xdr:row>35</xdr:row>
      <xdr:rowOff>146539</xdr:rowOff>
    </xdr:from>
    <xdr:to>
      <xdr:col>8</xdr:col>
      <xdr:colOff>528271</xdr:colOff>
      <xdr:row>38</xdr:row>
      <xdr:rowOff>108439</xdr:rowOff>
    </xdr:to>
    <xdr:sp macro="" textlink="">
      <xdr:nvSpPr>
        <xdr:cNvPr id="68" name="Rectangle 140">
          <a:extLst>
            <a:ext uri="{FF2B5EF4-FFF2-40B4-BE49-F238E27FC236}">
              <a16:creationId xmlns:a16="http://schemas.microsoft.com/office/drawing/2014/main" id="{00000000-0008-0000-0200-000044000000}"/>
            </a:ext>
          </a:extLst>
        </xdr:cNvPr>
        <xdr:cNvSpPr>
          <a:spLocks noChangeArrowheads="1"/>
        </xdr:cNvSpPr>
      </xdr:nvSpPr>
      <xdr:spPr bwMode="auto">
        <a:xfrm>
          <a:off x="3824654" y="6249866"/>
          <a:ext cx="1568694" cy="445477"/>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010 – Machine welding</a:t>
          </a:r>
        </a:p>
      </xdr:txBody>
    </xdr:sp>
    <xdr:clientData/>
  </xdr:twoCellAnchor>
  <xdr:twoCellAnchor>
    <xdr:from>
      <xdr:col>9</xdr:col>
      <xdr:colOff>146538</xdr:colOff>
      <xdr:row>35</xdr:row>
      <xdr:rowOff>161191</xdr:rowOff>
    </xdr:from>
    <xdr:to>
      <xdr:col>11</xdr:col>
      <xdr:colOff>518013</xdr:colOff>
      <xdr:row>38</xdr:row>
      <xdr:rowOff>132616</xdr:rowOff>
    </xdr:to>
    <xdr:sp macro="" textlink="">
      <xdr:nvSpPr>
        <xdr:cNvPr id="69" name="Rectangle 141">
          <a:extLst>
            <a:ext uri="{FF2B5EF4-FFF2-40B4-BE49-F238E27FC236}">
              <a16:creationId xmlns:a16="http://schemas.microsoft.com/office/drawing/2014/main" id="{00000000-0008-0000-0200-000045000000}"/>
            </a:ext>
          </a:extLst>
        </xdr:cNvPr>
        <xdr:cNvSpPr>
          <a:spLocks noChangeArrowheads="1"/>
        </xdr:cNvSpPr>
      </xdr:nvSpPr>
      <xdr:spPr bwMode="auto">
        <a:xfrm>
          <a:off x="5619750" y="6264518"/>
          <a:ext cx="1587744" cy="455002"/>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010 - Machine milling</a:t>
          </a:r>
        </a:p>
      </xdr:txBody>
    </xdr:sp>
    <xdr:clientData/>
  </xdr:twoCellAnchor>
  <xdr:twoCellAnchor>
    <xdr:from>
      <xdr:col>6</xdr:col>
      <xdr:colOff>58613</xdr:colOff>
      <xdr:row>32</xdr:row>
      <xdr:rowOff>80597</xdr:rowOff>
    </xdr:from>
    <xdr:to>
      <xdr:col>8</xdr:col>
      <xdr:colOff>430088</xdr:colOff>
      <xdr:row>35</xdr:row>
      <xdr:rowOff>90752</xdr:rowOff>
    </xdr:to>
    <xdr:sp macro="" textlink="">
      <xdr:nvSpPr>
        <xdr:cNvPr id="70" name="Rectangle 141">
          <a:extLst>
            <a:ext uri="{FF2B5EF4-FFF2-40B4-BE49-F238E27FC236}">
              <a16:creationId xmlns:a16="http://schemas.microsoft.com/office/drawing/2014/main" id="{00000000-0008-0000-0200-000046000000}"/>
            </a:ext>
          </a:extLst>
        </xdr:cNvPr>
        <xdr:cNvSpPr>
          <a:spLocks noChangeArrowheads="1"/>
        </xdr:cNvSpPr>
      </xdr:nvSpPr>
      <xdr:spPr bwMode="auto">
        <a:xfrm>
          <a:off x="3707421" y="5700347"/>
          <a:ext cx="1587744" cy="493732"/>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010 - Manual polishing</a:t>
          </a:r>
        </a:p>
      </xdr:txBody>
    </xdr:sp>
    <xdr:clientData/>
  </xdr:twoCellAnchor>
  <xdr:twoCellAnchor>
    <xdr:from>
      <xdr:col>2</xdr:col>
      <xdr:colOff>571501</xdr:colOff>
      <xdr:row>32</xdr:row>
      <xdr:rowOff>29309</xdr:rowOff>
    </xdr:from>
    <xdr:to>
      <xdr:col>5</xdr:col>
      <xdr:colOff>325316</xdr:colOff>
      <xdr:row>35</xdr:row>
      <xdr:rowOff>54954</xdr:rowOff>
    </xdr:to>
    <xdr:sp macro="" textlink="">
      <xdr:nvSpPr>
        <xdr:cNvPr id="71" name="Rectangle 82">
          <a:extLst>
            <a:ext uri="{FF2B5EF4-FFF2-40B4-BE49-F238E27FC236}">
              <a16:creationId xmlns:a16="http://schemas.microsoft.com/office/drawing/2014/main" id="{00000000-0008-0000-0200-000047000000}"/>
            </a:ext>
          </a:extLst>
        </xdr:cNvPr>
        <xdr:cNvSpPr>
          <a:spLocks noChangeArrowheads="1"/>
        </xdr:cNvSpPr>
      </xdr:nvSpPr>
      <xdr:spPr bwMode="auto">
        <a:xfrm>
          <a:off x="1787770" y="5649059"/>
          <a:ext cx="1578219" cy="509222"/>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010 – 100% Visual control and packaging</a:t>
          </a:r>
        </a:p>
      </xdr:txBody>
    </xdr:sp>
    <xdr:clientData/>
  </xdr:twoCellAnchor>
  <xdr:twoCellAnchor>
    <xdr:from>
      <xdr:col>6</xdr:col>
      <xdr:colOff>467457</xdr:colOff>
      <xdr:row>25</xdr:row>
      <xdr:rowOff>63849</xdr:rowOff>
    </xdr:from>
    <xdr:to>
      <xdr:col>9</xdr:col>
      <xdr:colOff>230797</xdr:colOff>
      <xdr:row>28</xdr:row>
      <xdr:rowOff>71907</xdr:rowOff>
    </xdr:to>
    <xdr:sp macro="" textlink="">
      <xdr:nvSpPr>
        <xdr:cNvPr id="72" name="Rectangle 141">
          <a:extLst>
            <a:ext uri="{FF2B5EF4-FFF2-40B4-BE49-F238E27FC236}">
              <a16:creationId xmlns:a16="http://schemas.microsoft.com/office/drawing/2014/main" id="{00000000-0008-0000-0200-000048000000}"/>
            </a:ext>
          </a:extLst>
        </xdr:cNvPr>
        <xdr:cNvSpPr>
          <a:spLocks noChangeArrowheads="1"/>
        </xdr:cNvSpPr>
      </xdr:nvSpPr>
      <xdr:spPr bwMode="auto">
        <a:xfrm>
          <a:off x="4116265" y="4481984"/>
          <a:ext cx="1587744" cy="491635"/>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008 – Cutting</a:t>
          </a:r>
        </a:p>
      </xdr:txBody>
    </xdr:sp>
    <xdr:clientData/>
  </xdr:twoCellAnchor>
  <xdr:twoCellAnchor>
    <xdr:from>
      <xdr:col>15</xdr:col>
      <xdr:colOff>520211</xdr:colOff>
      <xdr:row>17</xdr:row>
      <xdr:rowOff>102577</xdr:rowOff>
    </xdr:from>
    <xdr:to>
      <xdr:col>21</xdr:col>
      <xdr:colOff>409521</xdr:colOff>
      <xdr:row>21</xdr:row>
      <xdr:rowOff>90350</xdr:rowOff>
    </xdr:to>
    <xdr:grpSp>
      <xdr:nvGrpSpPr>
        <xdr:cNvPr id="3" name="Skupina 2">
          <a:extLst>
            <a:ext uri="{FF2B5EF4-FFF2-40B4-BE49-F238E27FC236}">
              <a16:creationId xmlns:a16="http://schemas.microsoft.com/office/drawing/2014/main" id="{00000000-0008-0000-0200-000003000000}"/>
            </a:ext>
          </a:extLst>
        </xdr:cNvPr>
        <xdr:cNvGrpSpPr/>
      </xdr:nvGrpSpPr>
      <xdr:grpSpPr>
        <a:xfrm>
          <a:off x="9642230" y="3121269"/>
          <a:ext cx="3538118" cy="669177"/>
          <a:chOff x="10338288" y="3377712"/>
          <a:chExt cx="3538118" cy="669177"/>
        </a:xfrm>
      </xdr:grpSpPr>
      <xdr:sp macro="" textlink="">
        <xdr:nvSpPr>
          <xdr:cNvPr id="73" name="Rectangle 92">
            <a:extLst>
              <a:ext uri="{FF2B5EF4-FFF2-40B4-BE49-F238E27FC236}">
                <a16:creationId xmlns:a16="http://schemas.microsoft.com/office/drawing/2014/main" id="{00000000-0008-0000-0200-000049000000}"/>
              </a:ext>
            </a:extLst>
          </xdr:cNvPr>
          <xdr:cNvSpPr>
            <a:spLocks noChangeArrowheads="1"/>
          </xdr:cNvSpPr>
        </xdr:nvSpPr>
        <xdr:spPr bwMode="auto">
          <a:xfrm>
            <a:off x="11778891" y="3536795"/>
            <a:ext cx="1607652" cy="510094"/>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 025 -  Delivery</a:t>
            </a:r>
          </a:p>
        </xdr:txBody>
      </xdr:sp>
      <xdr:sp macro="" textlink="">
        <xdr:nvSpPr>
          <xdr:cNvPr id="74" name="AutoShape 17">
            <a:extLst>
              <a:ext uri="{FF2B5EF4-FFF2-40B4-BE49-F238E27FC236}">
                <a16:creationId xmlns:a16="http://schemas.microsoft.com/office/drawing/2014/main" id="{00000000-0008-0000-0200-00004A000000}"/>
              </a:ext>
            </a:extLst>
          </xdr:cNvPr>
          <xdr:cNvSpPr>
            <a:spLocks noChangeArrowheads="1"/>
          </xdr:cNvSpPr>
        </xdr:nvSpPr>
        <xdr:spPr bwMode="auto">
          <a:xfrm>
            <a:off x="13430490" y="3800210"/>
            <a:ext cx="445916" cy="131261"/>
          </a:xfrm>
          <a:prstGeom prst="rightArrow">
            <a:avLst>
              <a:gd name="adj1" fmla="val 50000"/>
              <a:gd name="adj2" fmla="val 75000"/>
            </a:avLst>
          </a:prstGeom>
          <a:solidFill>
            <a:srgbClr val="CFE7F5"/>
          </a:solidFill>
          <a:ln w="9525">
            <a:solidFill>
              <a:srgbClr val="808080"/>
            </a:solidFill>
            <a:round/>
            <a:headEnd/>
            <a:tailEnd/>
          </a:ln>
        </xdr:spPr>
      </xdr:sp>
      <xdr:sp macro="" textlink="">
        <xdr:nvSpPr>
          <xdr:cNvPr id="75" name="AutoShape 22">
            <a:extLst>
              <a:ext uri="{FF2B5EF4-FFF2-40B4-BE49-F238E27FC236}">
                <a16:creationId xmlns:a16="http://schemas.microsoft.com/office/drawing/2014/main" id="{00000000-0008-0000-0200-00004B000000}"/>
              </a:ext>
            </a:extLst>
          </xdr:cNvPr>
          <xdr:cNvSpPr>
            <a:spLocks noChangeArrowheads="1"/>
          </xdr:cNvSpPr>
        </xdr:nvSpPr>
        <xdr:spPr bwMode="auto">
          <a:xfrm>
            <a:off x="13465687" y="3585064"/>
            <a:ext cx="190500" cy="118027"/>
          </a:xfrm>
          <a:prstGeom prst="leftArrow">
            <a:avLst>
              <a:gd name="adj1" fmla="val 50000"/>
              <a:gd name="adj2" fmla="val 41667"/>
            </a:avLst>
          </a:prstGeom>
          <a:solidFill>
            <a:srgbClr val="CFE7F5"/>
          </a:solidFill>
          <a:ln w="9525">
            <a:solidFill>
              <a:srgbClr val="808080"/>
            </a:solidFill>
            <a:round/>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76" name="AutoShape 130">
            <a:extLst>
              <a:ext uri="{FF2B5EF4-FFF2-40B4-BE49-F238E27FC236}">
                <a16:creationId xmlns:a16="http://schemas.microsoft.com/office/drawing/2014/main" id="{00000000-0008-0000-0200-00004C000000}"/>
              </a:ext>
            </a:extLst>
          </xdr:cNvPr>
          <xdr:cNvSpPr>
            <a:spLocks noChangeArrowheads="1"/>
          </xdr:cNvSpPr>
        </xdr:nvSpPr>
        <xdr:spPr bwMode="auto">
          <a:xfrm>
            <a:off x="10338288" y="3517089"/>
            <a:ext cx="1409729" cy="105104"/>
          </a:xfrm>
          <a:prstGeom prst="leftArrow">
            <a:avLst>
              <a:gd name="adj1" fmla="val 50000"/>
              <a:gd name="adj2" fmla="val 185000"/>
            </a:avLst>
          </a:prstGeom>
          <a:solidFill>
            <a:srgbClr val="FF6600"/>
          </a:solidFill>
          <a:ln w="9525">
            <a:solidFill>
              <a:srgbClr val="808080"/>
            </a:solidFill>
            <a:round/>
            <a:headEnd/>
            <a:tailEnd/>
          </a:ln>
        </xdr:spPr>
      </xdr:sp>
      <xdr:sp macro="" textlink="">
        <xdr:nvSpPr>
          <xdr:cNvPr id="77" name="AutoShape 80">
            <a:extLst>
              <a:ext uri="{FF2B5EF4-FFF2-40B4-BE49-F238E27FC236}">
                <a16:creationId xmlns:a16="http://schemas.microsoft.com/office/drawing/2014/main" id="{00000000-0008-0000-0200-00004D000000}"/>
              </a:ext>
            </a:extLst>
          </xdr:cNvPr>
          <xdr:cNvSpPr>
            <a:spLocks noChangeArrowheads="1"/>
          </xdr:cNvSpPr>
        </xdr:nvSpPr>
        <xdr:spPr bwMode="auto">
          <a:xfrm>
            <a:off x="10502512" y="3641900"/>
            <a:ext cx="884894" cy="380887"/>
          </a:xfrm>
          <a:prstGeom prst="flowChartInputOutpu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200" b="0" i="0" u="none" strike="noStrike" baseline="0">
                <a:solidFill>
                  <a:srgbClr val="000000"/>
                </a:solidFill>
                <a:latin typeface="Times New Roman"/>
                <a:cs typeface="Times New Roman"/>
              </a:rPr>
              <a:t>Sending</a:t>
            </a:r>
          </a:p>
        </xdr:txBody>
      </xdr:sp>
      <xdr:sp macro="" textlink="">
        <xdr:nvSpPr>
          <xdr:cNvPr id="78" name="AutoShape 130">
            <a:extLst>
              <a:ext uri="{FF2B5EF4-FFF2-40B4-BE49-F238E27FC236}">
                <a16:creationId xmlns:a16="http://schemas.microsoft.com/office/drawing/2014/main" id="{00000000-0008-0000-0200-00004E000000}"/>
              </a:ext>
            </a:extLst>
          </xdr:cNvPr>
          <xdr:cNvSpPr>
            <a:spLocks noChangeArrowheads="1"/>
          </xdr:cNvSpPr>
        </xdr:nvSpPr>
        <xdr:spPr bwMode="auto">
          <a:xfrm>
            <a:off x="11345339" y="3761569"/>
            <a:ext cx="400707" cy="93393"/>
          </a:xfrm>
          <a:prstGeom prst="leftArrow">
            <a:avLst>
              <a:gd name="adj1" fmla="val 50000"/>
              <a:gd name="adj2" fmla="val 185000"/>
            </a:avLst>
          </a:prstGeom>
          <a:solidFill>
            <a:srgbClr val="FF6600"/>
          </a:solidFill>
          <a:ln w="9525">
            <a:solidFill>
              <a:srgbClr val="808080"/>
            </a:solidFill>
            <a:round/>
            <a:headEnd/>
            <a:tailEnd/>
          </a:ln>
        </xdr:spPr>
      </xdr:sp>
      <xdr:sp macro="" textlink="">
        <xdr:nvSpPr>
          <xdr:cNvPr id="79" name="Rectangle 117">
            <a:extLst>
              <a:ext uri="{FF2B5EF4-FFF2-40B4-BE49-F238E27FC236}">
                <a16:creationId xmlns:a16="http://schemas.microsoft.com/office/drawing/2014/main" id="{00000000-0008-0000-0200-00004F000000}"/>
              </a:ext>
            </a:extLst>
          </xdr:cNvPr>
          <xdr:cNvSpPr>
            <a:spLocks noChangeArrowheads="1"/>
          </xdr:cNvSpPr>
        </xdr:nvSpPr>
        <xdr:spPr bwMode="auto">
          <a:xfrm>
            <a:off x="11470150" y="3377712"/>
            <a:ext cx="266700" cy="134046"/>
          </a:xfrm>
          <a:prstGeom prst="rect">
            <a:avLst/>
          </a:prstGeom>
          <a:solidFill>
            <a:srgbClr val="CFE7F5"/>
          </a:solidFill>
          <a:ln w="9525">
            <a:solidFill>
              <a:srgbClr val="808080"/>
            </a:solidFill>
            <a:round/>
            <a:headEnd/>
            <a:tailEnd/>
          </a:ln>
        </xdr:spPr>
        <xdr:txBody>
          <a:bodyPr vertOverflow="clip" wrap="square" lIns="0" tIns="0" rIns="0" bIns="0" anchor="ctr"/>
          <a:lstStyle/>
          <a:p>
            <a:pPr algn="ctr" rtl="0">
              <a:defRPr sz="1000"/>
            </a:pPr>
            <a:r>
              <a:rPr lang="sl-SI" sz="1000" b="0" i="0" u="none" strike="noStrike" baseline="0">
                <a:solidFill>
                  <a:srgbClr val="000000"/>
                </a:solidFill>
                <a:latin typeface="Times New Roman"/>
                <a:cs typeface="Times New Roman"/>
              </a:rPr>
              <a:t>NO</a:t>
            </a:r>
          </a:p>
        </xdr:txBody>
      </xdr:sp>
    </xdr:grp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4</xdr:row>
          <xdr:rowOff>28575</xdr:rowOff>
        </xdr:from>
        <xdr:to>
          <xdr:col>1</xdr:col>
          <xdr:colOff>866775</xdr:colOff>
          <xdr:row>5</xdr:row>
          <xdr:rowOff>85725</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300-000001180000}"/>
                </a:ext>
              </a:extLst>
            </xdr:cNvPr>
            <xdr:cNvSpPr/>
          </xdr:nvSpPr>
          <xdr:spPr bwMode="auto">
            <a:xfrm>
              <a:off x="0" y="0"/>
              <a:ext cx="0" cy="0"/>
            </a:xfrm>
            <a:prstGeom prst="rect">
              <a:avLst/>
            </a:prstGeom>
            <a:noFill/>
            <a:ln>
              <a:noFill/>
            </a:ln>
            <a:effectLst/>
            <a:extLst>
              <a:ext uri="{909E8E84-426E-40DD-AFC4-6F175D3DCCD1}">
                <a14:hiddenFill>
                  <a:solidFill>
                    <a:srgbClr val="FFFF99" mc:Ignorable="a14" a14:legacySpreadsheetColorIndex="43"/>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sl-SI" sz="800" b="0" i="0" u="none" strike="noStrike" baseline="0">
                  <a:solidFill>
                    <a:srgbClr val="000000"/>
                  </a:solidFill>
                  <a:latin typeface="Tahoma"/>
                  <a:ea typeface="Tahoma"/>
                  <a:cs typeface="Tahoma"/>
                </a:rPr>
                <a:t> Illustration material (hardware) - test part, prototype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5</xdr:row>
          <xdr:rowOff>47625</xdr:rowOff>
        </xdr:from>
        <xdr:to>
          <xdr:col>2</xdr:col>
          <xdr:colOff>428625</xdr:colOff>
          <xdr:row>6</xdr:row>
          <xdr:rowOff>104775</xdr:rowOff>
        </xdr:to>
        <xdr:sp macro="" textlink="">
          <xdr:nvSpPr>
            <xdr:cNvPr id="6146" name="Check Box 2" hidden="1">
              <a:extLst>
                <a:ext uri="{63B3BB69-23CF-44E3-9099-C40C66FF867C}">
                  <a14:compatExt spid="_x0000_s6146"/>
                </a:ext>
                <a:ext uri="{FF2B5EF4-FFF2-40B4-BE49-F238E27FC236}">
                  <a16:creationId xmlns:a16="http://schemas.microsoft.com/office/drawing/2014/main" id="{00000000-0008-0000-0300-000002180000}"/>
                </a:ext>
              </a:extLst>
            </xdr:cNvPr>
            <xdr:cNvSpPr/>
          </xdr:nvSpPr>
          <xdr:spPr bwMode="auto">
            <a:xfrm>
              <a:off x="0" y="0"/>
              <a:ext cx="0" cy="0"/>
            </a:xfrm>
            <a:prstGeom prst="rect">
              <a:avLst/>
            </a:prstGeom>
            <a:noFill/>
            <a:ln>
              <a:noFill/>
            </a:ln>
            <a:effectLst/>
            <a:extLst>
              <a:ext uri="{909E8E84-426E-40DD-AFC4-6F175D3DCCD1}">
                <a14:hiddenFill>
                  <a:solidFill>
                    <a:srgbClr val="FFFF99" mc:Ignorable="a14" a14:legacySpreadsheetColorIndex="43"/>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sl-SI" sz="800" b="0" i="0" u="none" strike="noStrike" baseline="0">
                  <a:solidFill>
                    <a:srgbClr val="000000"/>
                  </a:solidFill>
                  <a:latin typeface="Tahoma"/>
                  <a:ea typeface="Tahoma"/>
                  <a:cs typeface="Tahoma"/>
                </a:rPr>
                <a:t> A principle layout of the system design and all drawings included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6</xdr:row>
          <xdr:rowOff>57150</xdr:rowOff>
        </xdr:from>
        <xdr:to>
          <xdr:col>1</xdr:col>
          <xdr:colOff>2676525</xdr:colOff>
          <xdr:row>7</xdr:row>
          <xdr:rowOff>114300</xdr:rowOff>
        </xdr:to>
        <xdr:sp macro="" textlink="">
          <xdr:nvSpPr>
            <xdr:cNvPr id="6147" name="Check Box 3" hidden="1">
              <a:extLst>
                <a:ext uri="{63B3BB69-23CF-44E3-9099-C40C66FF867C}">
                  <a14:compatExt spid="_x0000_s6147"/>
                </a:ext>
                <a:ext uri="{FF2B5EF4-FFF2-40B4-BE49-F238E27FC236}">
                  <a16:creationId xmlns:a16="http://schemas.microsoft.com/office/drawing/2014/main" id="{00000000-0008-0000-0300-000003180000}"/>
                </a:ext>
              </a:extLst>
            </xdr:cNvPr>
            <xdr:cNvSpPr/>
          </xdr:nvSpPr>
          <xdr:spPr bwMode="auto">
            <a:xfrm>
              <a:off x="0" y="0"/>
              <a:ext cx="0" cy="0"/>
            </a:xfrm>
            <a:prstGeom prst="rect">
              <a:avLst/>
            </a:prstGeom>
            <a:noFill/>
            <a:ln>
              <a:noFill/>
            </a:ln>
            <a:effectLst/>
            <a:extLst>
              <a:ext uri="{909E8E84-426E-40DD-AFC4-6F175D3DCCD1}">
                <a14:hiddenFill>
                  <a:solidFill>
                    <a:srgbClr val="FFFF99" mc:Ignorable="a14" a14:legacySpreadsheetColorIndex="43"/>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sl-SI" sz="800" b="0" i="0" u="none" strike="noStrike" baseline="0">
                  <a:solidFill>
                    <a:srgbClr val="000000"/>
                  </a:solidFill>
                  <a:latin typeface="Tahoma"/>
                  <a:ea typeface="Tahoma"/>
                  <a:cs typeface="Tahoma"/>
                </a:rPr>
                <a:t> Lists of parts/components, material and function specifications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7</xdr:row>
          <xdr:rowOff>66675</xdr:rowOff>
        </xdr:from>
        <xdr:to>
          <xdr:col>1</xdr:col>
          <xdr:colOff>2486025</xdr:colOff>
          <xdr:row>8</xdr:row>
          <xdr:rowOff>123825</xdr:rowOff>
        </xdr:to>
        <xdr:sp macro="" textlink="">
          <xdr:nvSpPr>
            <xdr:cNvPr id="6148" name="Check Box 4" hidden="1">
              <a:extLst>
                <a:ext uri="{63B3BB69-23CF-44E3-9099-C40C66FF867C}">
                  <a14:compatExt spid="_x0000_s6148"/>
                </a:ext>
                <a:ext uri="{FF2B5EF4-FFF2-40B4-BE49-F238E27FC236}">
                  <a16:creationId xmlns:a16="http://schemas.microsoft.com/office/drawing/2014/main" id="{00000000-0008-0000-0300-000004180000}"/>
                </a:ext>
              </a:extLst>
            </xdr:cNvPr>
            <xdr:cNvSpPr/>
          </xdr:nvSpPr>
          <xdr:spPr bwMode="auto">
            <a:xfrm>
              <a:off x="0" y="0"/>
              <a:ext cx="0" cy="0"/>
            </a:xfrm>
            <a:prstGeom prst="rect">
              <a:avLst/>
            </a:prstGeom>
            <a:noFill/>
            <a:ln>
              <a:noFill/>
            </a:ln>
            <a:effectLst/>
            <a:extLst>
              <a:ext uri="{909E8E84-426E-40DD-AFC4-6F175D3DCCD1}">
                <a14:hiddenFill>
                  <a:solidFill>
                    <a:srgbClr val="FFFF99" mc:Ignorable="a14" a14:legacySpreadsheetColorIndex="43"/>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sl-SI" sz="800" b="0" i="0" u="none" strike="noStrike" baseline="0">
                  <a:solidFill>
                    <a:srgbClr val="000000"/>
                  </a:solidFill>
                  <a:latin typeface="Tahoma"/>
                  <a:ea typeface="Tahoma"/>
                  <a:cs typeface="Tahoma"/>
                </a:rPr>
                <a:t> Available data from suppliers/Other relevant (similar) reliability analyses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9</xdr:row>
          <xdr:rowOff>85725</xdr:rowOff>
        </xdr:from>
        <xdr:to>
          <xdr:col>2</xdr:col>
          <xdr:colOff>219075</xdr:colOff>
          <xdr:row>10</xdr:row>
          <xdr:rowOff>142875</xdr:rowOff>
        </xdr:to>
        <xdr:sp macro="" textlink="">
          <xdr:nvSpPr>
            <xdr:cNvPr id="6149" name="Check Box 5" hidden="1">
              <a:extLst>
                <a:ext uri="{63B3BB69-23CF-44E3-9099-C40C66FF867C}">
                  <a14:compatExt spid="_x0000_s6149"/>
                </a:ext>
                <a:ext uri="{FF2B5EF4-FFF2-40B4-BE49-F238E27FC236}">
                  <a16:creationId xmlns:a16="http://schemas.microsoft.com/office/drawing/2014/main" id="{00000000-0008-0000-0300-000005180000}"/>
                </a:ext>
              </a:extLst>
            </xdr:cNvPr>
            <xdr:cNvSpPr/>
          </xdr:nvSpPr>
          <xdr:spPr bwMode="auto">
            <a:xfrm>
              <a:off x="0" y="0"/>
              <a:ext cx="0" cy="0"/>
            </a:xfrm>
            <a:prstGeom prst="rect">
              <a:avLst/>
            </a:prstGeom>
            <a:noFill/>
            <a:ln>
              <a:noFill/>
            </a:ln>
            <a:effectLst/>
            <a:extLst>
              <a:ext uri="{909E8E84-426E-40DD-AFC4-6F175D3DCCD1}">
                <a14:hiddenFill>
                  <a:solidFill>
                    <a:srgbClr val="FFFF99" mc:Ignorable="a14" a14:legacySpreadsheetColorIndex="43"/>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sl-SI" sz="800" b="0" i="0" u="none" strike="noStrike" baseline="0">
                  <a:solidFill>
                    <a:srgbClr val="000000"/>
                  </a:solidFill>
                  <a:latin typeface="Tahoma"/>
                  <a:ea typeface="Tahoma"/>
                  <a:cs typeface="Tahoma"/>
                </a:rPr>
                <a:t> Customer complaints (Features, failures/warranty claims) on the current product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10</xdr:row>
          <xdr:rowOff>95250</xdr:rowOff>
        </xdr:from>
        <xdr:to>
          <xdr:col>1</xdr:col>
          <xdr:colOff>3695700</xdr:colOff>
          <xdr:row>11</xdr:row>
          <xdr:rowOff>152400</xdr:rowOff>
        </xdr:to>
        <xdr:sp macro="" textlink="">
          <xdr:nvSpPr>
            <xdr:cNvPr id="6150" name="Check Box 6" hidden="1">
              <a:extLst>
                <a:ext uri="{63B3BB69-23CF-44E3-9099-C40C66FF867C}">
                  <a14:compatExt spid="_x0000_s6150"/>
                </a:ext>
                <a:ext uri="{FF2B5EF4-FFF2-40B4-BE49-F238E27FC236}">
                  <a16:creationId xmlns:a16="http://schemas.microsoft.com/office/drawing/2014/main" id="{00000000-0008-0000-0300-000006180000}"/>
                </a:ext>
              </a:extLst>
            </xdr:cNvPr>
            <xdr:cNvSpPr/>
          </xdr:nvSpPr>
          <xdr:spPr bwMode="auto">
            <a:xfrm>
              <a:off x="0" y="0"/>
              <a:ext cx="0" cy="0"/>
            </a:xfrm>
            <a:prstGeom prst="rect">
              <a:avLst/>
            </a:prstGeom>
            <a:noFill/>
            <a:ln>
              <a:noFill/>
            </a:ln>
            <a:effectLst/>
            <a:extLst>
              <a:ext uri="{909E8E84-426E-40DD-AFC4-6F175D3DCCD1}">
                <a14:hiddenFill>
                  <a:solidFill>
                    <a:srgbClr val="FFFF99" mc:Ignorable="a14" a14:legacySpreadsheetColorIndex="43"/>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sl-SI" sz="800" b="0" i="0" u="none" strike="noStrike" baseline="0">
                  <a:solidFill>
                    <a:srgbClr val="000000"/>
                  </a:solidFill>
                  <a:latin typeface="Tahoma"/>
                  <a:ea typeface="Tahoma"/>
                  <a:cs typeface="Tahoma"/>
                </a:rPr>
                <a:t> Available failure reports from current production/Campaigns related to the product/system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12</xdr:row>
          <xdr:rowOff>114300</xdr:rowOff>
        </xdr:from>
        <xdr:to>
          <xdr:col>2</xdr:col>
          <xdr:colOff>0</xdr:colOff>
          <xdr:row>14</xdr:row>
          <xdr:rowOff>0</xdr:rowOff>
        </xdr:to>
        <xdr:sp macro="" textlink="">
          <xdr:nvSpPr>
            <xdr:cNvPr id="6151" name="Check Box 7" hidden="1">
              <a:extLst>
                <a:ext uri="{63B3BB69-23CF-44E3-9099-C40C66FF867C}">
                  <a14:compatExt spid="_x0000_s6151"/>
                </a:ext>
                <a:ext uri="{FF2B5EF4-FFF2-40B4-BE49-F238E27FC236}">
                  <a16:creationId xmlns:a16="http://schemas.microsoft.com/office/drawing/2014/main" id="{00000000-0008-0000-0300-000007180000}"/>
                </a:ext>
              </a:extLst>
            </xdr:cNvPr>
            <xdr:cNvSpPr/>
          </xdr:nvSpPr>
          <xdr:spPr bwMode="auto">
            <a:xfrm>
              <a:off x="0" y="0"/>
              <a:ext cx="0" cy="0"/>
            </a:xfrm>
            <a:prstGeom prst="rect">
              <a:avLst/>
            </a:prstGeom>
            <a:noFill/>
            <a:ln>
              <a:noFill/>
            </a:ln>
            <a:effectLst/>
            <a:extLst>
              <a:ext uri="{909E8E84-426E-40DD-AFC4-6F175D3DCCD1}">
                <a14:hiddenFill>
                  <a:solidFill>
                    <a:srgbClr val="FFFF99" mc:Ignorable="a14" a14:legacySpreadsheetColorIndex="43"/>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sl-SI" sz="800" b="0" i="0" u="none" strike="noStrike" baseline="0">
                  <a:solidFill>
                    <a:srgbClr val="000000"/>
                  </a:solidFill>
                  <a:latin typeface="Tahoma"/>
                  <a:ea typeface="Tahoma"/>
                  <a:cs typeface="Tahoma"/>
                </a:rPr>
                <a:t>Other, eg. Data from any other experience banks, such as environmental effects in connection with failure.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0</xdr:colOff>
          <xdr:row>11</xdr:row>
          <xdr:rowOff>104775</xdr:rowOff>
        </xdr:from>
        <xdr:to>
          <xdr:col>1</xdr:col>
          <xdr:colOff>2438400</xdr:colOff>
          <xdr:row>13</xdr:row>
          <xdr:rowOff>0</xdr:rowOff>
        </xdr:to>
        <xdr:sp macro="" textlink="">
          <xdr:nvSpPr>
            <xdr:cNvPr id="6152" name="Check Box 8" hidden="1">
              <a:extLst>
                <a:ext uri="{63B3BB69-23CF-44E3-9099-C40C66FF867C}">
                  <a14:compatExt spid="_x0000_s6152"/>
                </a:ext>
                <a:ext uri="{FF2B5EF4-FFF2-40B4-BE49-F238E27FC236}">
                  <a16:creationId xmlns:a16="http://schemas.microsoft.com/office/drawing/2014/main" id="{00000000-0008-0000-0300-000008180000}"/>
                </a:ext>
              </a:extLst>
            </xdr:cNvPr>
            <xdr:cNvSpPr/>
          </xdr:nvSpPr>
          <xdr:spPr bwMode="auto">
            <a:xfrm>
              <a:off x="0" y="0"/>
              <a:ext cx="0" cy="0"/>
            </a:xfrm>
            <a:prstGeom prst="rect">
              <a:avLst/>
            </a:prstGeom>
            <a:noFill/>
            <a:ln>
              <a:noFill/>
            </a:ln>
            <a:effectLst/>
            <a:extLst>
              <a:ext uri="{909E8E84-426E-40DD-AFC4-6F175D3DCCD1}">
                <a14:hiddenFill>
                  <a:solidFill>
                    <a:srgbClr val="FFFF99" mc:Ignorable="a14" a14:legacySpreadsheetColorIndex="43"/>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sl-SI" sz="800" b="0" i="0" u="none" strike="noStrike" baseline="0">
                  <a:solidFill>
                    <a:srgbClr val="000000"/>
                  </a:solidFill>
                  <a:latin typeface="Tahoma"/>
                  <a:ea typeface="Tahoma"/>
                  <a:cs typeface="Tahoma"/>
                </a:rPr>
                <a:t> Previously made FMEAs</a:t>
              </a:r>
            </a:p>
          </xdr:txBody>
        </xdr:sp>
        <xdr:clientData/>
      </xdr:twoCellAnchor>
    </mc:Choice>
    <mc:Fallback/>
  </mc:AlternateContent>
  <xdr:twoCellAnchor>
    <xdr:from>
      <xdr:col>0</xdr:col>
      <xdr:colOff>514350</xdr:colOff>
      <xdr:row>0</xdr:row>
      <xdr:rowOff>28575</xdr:rowOff>
    </xdr:from>
    <xdr:to>
      <xdr:col>0</xdr:col>
      <xdr:colOff>828675</xdr:colOff>
      <xdr:row>1</xdr:row>
      <xdr:rowOff>152400</xdr:rowOff>
    </xdr:to>
    <xdr:pic>
      <xdr:nvPicPr>
        <xdr:cNvPr id="6202" name="Picture 9" descr="3P">
          <a:extLst>
            <a:ext uri="{FF2B5EF4-FFF2-40B4-BE49-F238E27FC236}">
              <a16:creationId xmlns:a16="http://schemas.microsoft.com/office/drawing/2014/main" id="{00000000-0008-0000-0300-00003A1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4350" y="28575"/>
          <a:ext cx="3143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0</xdr:col>
          <xdr:colOff>0</xdr:colOff>
          <xdr:row>8</xdr:row>
          <xdr:rowOff>76200</xdr:rowOff>
        </xdr:from>
        <xdr:to>
          <xdr:col>2</xdr:col>
          <xdr:colOff>495300</xdr:colOff>
          <xdr:row>9</xdr:row>
          <xdr:rowOff>133350</xdr:rowOff>
        </xdr:to>
        <xdr:sp macro="" textlink="">
          <xdr:nvSpPr>
            <xdr:cNvPr id="6154" name="Check Box 10" hidden="1">
              <a:extLst>
                <a:ext uri="{63B3BB69-23CF-44E3-9099-C40C66FF867C}">
                  <a14:compatExt spid="_x0000_s6154"/>
                </a:ext>
                <a:ext uri="{FF2B5EF4-FFF2-40B4-BE49-F238E27FC236}">
                  <a16:creationId xmlns:a16="http://schemas.microsoft.com/office/drawing/2014/main" id="{00000000-0008-0000-0300-00000A180000}"/>
                </a:ext>
              </a:extLst>
            </xdr:cNvPr>
            <xdr:cNvSpPr/>
          </xdr:nvSpPr>
          <xdr:spPr bwMode="auto">
            <a:xfrm>
              <a:off x="0" y="0"/>
              <a:ext cx="0" cy="0"/>
            </a:xfrm>
            <a:prstGeom prst="rect">
              <a:avLst/>
            </a:prstGeom>
            <a:noFill/>
            <a:ln>
              <a:noFill/>
            </a:ln>
            <a:effectLst/>
            <a:extLst>
              <a:ext uri="{909E8E84-426E-40DD-AFC4-6F175D3DCCD1}">
                <a14:hiddenFill>
                  <a:solidFill>
                    <a:srgbClr val="FFFF99" mc:Ignorable="a14" a14:legacySpreadsheetColorIndex="43"/>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sl-SI" sz="800" b="0" i="0" u="none" strike="noStrike" baseline="0">
                  <a:solidFill>
                    <a:srgbClr val="000000"/>
                  </a:solidFill>
                  <a:latin typeface="Tahoma"/>
                  <a:ea typeface="Tahoma"/>
                  <a:cs typeface="Tahoma"/>
                </a:rPr>
                <a:t> Available failure reports from the field/Results from market surveys/ Campaigns related to the product/system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16</xdr:row>
          <xdr:rowOff>0</xdr:rowOff>
        </xdr:from>
        <xdr:to>
          <xdr:col>1</xdr:col>
          <xdr:colOff>923925</xdr:colOff>
          <xdr:row>17</xdr:row>
          <xdr:rowOff>19050</xdr:rowOff>
        </xdr:to>
        <xdr:sp macro="" textlink="">
          <xdr:nvSpPr>
            <xdr:cNvPr id="6199" name="Check Box 55" hidden="1">
              <a:extLst>
                <a:ext uri="{63B3BB69-23CF-44E3-9099-C40C66FF867C}">
                  <a14:compatExt spid="_x0000_s6199"/>
                </a:ext>
                <a:ext uri="{FF2B5EF4-FFF2-40B4-BE49-F238E27FC236}">
                  <a16:creationId xmlns:a16="http://schemas.microsoft.com/office/drawing/2014/main" id="{00000000-0008-0000-0300-000037180000}"/>
                </a:ext>
              </a:extLst>
            </xdr:cNvPr>
            <xdr:cNvSpPr/>
          </xdr:nvSpPr>
          <xdr:spPr bwMode="auto">
            <a:xfrm>
              <a:off x="0" y="0"/>
              <a:ext cx="0" cy="0"/>
            </a:xfrm>
            <a:prstGeom prst="rect">
              <a:avLst/>
            </a:prstGeom>
            <a:noFill/>
            <a:ln>
              <a:noFill/>
            </a:ln>
            <a:effectLst/>
            <a:extLst>
              <a:ext uri="{909E8E84-426E-40DD-AFC4-6F175D3DCCD1}">
                <a14:hiddenFill>
                  <a:solidFill>
                    <a:srgbClr val="FFFF99" mc:Ignorable="a14" a14:legacySpreadsheetColorIndex="43"/>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sl-SI" sz="800" b="0" i="0" u="none" strike="noStrike" baseline="0">
                  <a:solidFill>
                    <a:srgbClr val="000000"/>
                  </a:solidFill>
                  <a:latin typeface="Tahoma"/>
                  <a:ea typeface="Tahoma"/>
                  <a:cs typeface="Tahoma"/>
                </a:rPr>
                <a:t> System FMEA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1000125</xdr:colOff>
          <xdr:row>16</xdr:row>
          <xdr:rowOff>0</xdr:rowOff>
        </xdr:from>
        <xdr:to>
          <xdr:col>1</xdr:col>
          <xdr:colOff>1924050</xdr:colOff>
          <xdr:row>17</xdr:row>
          <xdr:rowOff>19050</xdr:rowOff>
        </xdr:to>
        <xdr:sp macro="" textlink="">
          <xdr:nvSpPr>
            <xdr:cNvPr id="6200" name="Check Box 56" hidden="1">
              <a:extLst>
                <a:ext uri="{63B3BB69-23CF-44E3-9099-C40C66FF867C}">
                  <a14:compatExt spid="_x0000_s6200"/>
                </a:ext>
                <a:ext uri="{FF2B5EF4-FFF2-40B4-BE49-F238E27FC236}">
                  <a16:creationId xmlns:a16="http://schemas.microsoft.com/office/drawing/2014/main" id="{00000000-0008-0000-0300-000038180000}"/>
                </a:ext>
              </a:extLst>
            </xdr:cNvPr>
            <xdr:cNvSpPr/>
          </xdr:nvSpPr>
          <xdr:spPr bwMode="auto">
            <a:xfrm>
              <a:off x="0" y="0"/>
              <a:ext cx="0" cy="0"/>
            </a:xfrm>
            <a:prstGeom prst="rect">
              <a:avLst/>
            </a:prstGeom>
            <a:noFill/>
            <a:ln>
              <a:noFill/>
            </a:ln>
            <a:effectLst/>
            <a:extLst>
              <a:ext uri="{909E8E84-426E-40DD-AFC4-6F175D3DCCD1}">
                <a14:hiddenFill>
                  <a:solidFill>
                    <a:srgbClr val="FFFF99" mc:Ignorable="a14" a14:legacySpreadsheetColorIndex="43"/>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sl-SI" sz="800" b="0" i="0" u="none" strike="noStrike" baseline="0">
                  <a:solidFill>
                    <a:srgbClr val="000000"/>
                  </a:solidFill>
                  <a:latin typeface="Tahoma"/>
                  <a:ea typeface="Tahoma"/>
                  <a:cs typeface="Tahoma"/>
                </a:rPr>
                <a:t> Design FMEA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2000250</xdr:colOff>
          <xdr:row>16</xdr:row>
          <xdr:rowOff>0</xdr:rowOff>
        </xdr:from>
        <xdr:to>
          <xdr:col>1</xdr:col>
          <xdr:colOff>2924175</xdr:colOff>
          <xdr:row>17</xdr:row>
          <xdr:rowOff>19050</xdr:rowOff>
        </xdr:to>
        <xdr:sp macro="" textlink="">
          <xdr:nvSpPr>
            <xdr:cNvPr id="6201" name="Check Box 57" hidden="1">
              <a:extLst>
                <a:ext uri="{63B3BB69-23CF-44E3-9099-C40C66FF867C}">
                  <a14:compatExt spid="_x0000_s6201"/>
                </a:ext>
                <a:ext uri="{FF2B5EF4-FFF2-40B4-BE49-F238E27FC236}">
                  <a16:creationId xmlns:a16="http://schemas.microsoft.com/office/drawing/2014/main" id="{00000000-0008-0000-0300-000039180000}"/>
                </a:ext>
              </a:extLst>
            </xdr:cNvPr>
            <xdr:cNvSpPr/>
          </xdr:nvSpPr>
          <xdr:spPr bwMode="auto">
            <a:xfrm>
              <a:off x="0" y="0"/>
              <a:ext cx="0" cy="0"/>
            </a:xfrm>
            <a:prstGeom prst="rect">
              <a:avLst/>
            </a:prstGeom>
            <a:noFill/>
            <a:ln>
              <a:noFill/>
            </a:ln>
            <a:effectLst/>
            <a:extLst>
              <a:ext uri="{909E8E84-426E-40DD-AFC4-6F175D3DCCD1}">
                <a14:hiddenFill>
                  <a:solidFill>
                    <a:srgbClr val="FFFF99" mc:Ignorable="a14" a14:legacySpreadsheetColorIndex="43"/>
                  </a:solidFill>
                </a14:hiddenFill>
              </a:ext>
              <a:ext uri="{91240B29-F687-4F45-9708-019B960494DF}">
                <a14:hiddenLine w="9525">
                  <a:solidFill>
                    <a:srgbClr val="000000"/>
                  </a:solidFill>
                  <a:miter lim="800000"/>
                  <a:headEnd/>
                  <a:tailEnd/>
                </a14:hiddenLine>
              </a:ext>
              <a:ext uri="{53640926-AAD7-44D8-BBD7-CCE9431645EC}">
                <a14:shadowObscured val="1"/>
              </a:ext>
            </a:extLst>
          </xdr:spPr>
          <xdr:txBody>
            <a:bodyPr vertOverflow="clip" wrap="square" lIns="27432" tIns="18288" rIns="0" bIns="18288" anchor="ctr" upright="1"/>
            <a:lstStyle/>
            <a:p>
              <a:pPr algn="l" rtl="0">
                <a:defRPr sz="1000"/>
              </a:pPr>
              <a:r>
                <a:rPr lang="sl-SI" sz="800" b="0" i="0" u="none" strike="noStrike" baseline="0">
                  <a:solidFill>
                    <a:srgbClr val="000000"/>
                  </a:solidFill>
                  <a:latin typeface="Tahoma"/>
                  <a:ea typeface="Tahoma"/>
                  <a:cs typeface="Tahoma"/>
                </a:rPr>
                <a:t> Process FMEA</a:t>
              </a:r>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19050</xdr:colOff>
          <xdr:row>0</xdr:row>
          <xdr:rowOff>9525</xdr:rowOff>
        </xdr:from>
        <xdr:to>
          <xdr:col>2</xdr:col>
          <xdr:colOff>228600</xdr:colOff>
          <xdr:row>0</xdr:row>
          <xdr:rowOff>361950</xdr:rowOff>
        </xdr:to>
        <xdr:sp macro="" textlink="">
          <xdr:nvSpPr>
            <xdr:cNvPr id="1068" name="Button 44" hidden="1">
              <a:extLst>
                <a:ext uri="{63B3BB69-23CF-44E3-9099-C40C66FF867C}">
                  <a14:compatExt spid="_x0000_s1068"/>
                </a:ext>
                <a:ext uri="{FF2B5EF4-FFF2-40B4-BE49-F238E27FC236}">
                  <a16:creationId xmlns:a16="http://schemas.microsoft.com/office/drawing/2014/main" id="{00000000-0008-0000-0500-00002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sl-SI" sz="1200" b="0" i="0" u="none" strike="noStrike" baseline="0">
                  <a:solidFill>
                    <a:srgbClr val="000000"/>
                  </a:solidFill>
                  <a:latin typeface="System"/>
                </a:rPr>
                <a:t> Increase page length </a:t>
              </a:r>
            </a:p>
          </xdr:txBody>
        </xdr:sp>
        <xdr:clientData fPrintsWithSheet="0"/>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76200</xdr:colOff>
          <xdr:row>0</xdr:row>
          <xdr:rowOff>47625</xdr:rowOff>
        </xdr:from>
        <xdr:to>
          <xdr:col>2</xdr:col>
          <xdr:colOff>161925</xdr:colOff>
          <xdr:row>0</xdr:row>
          <xdr:rowOff>400050</xdr:rowOff>
        </xdr:to>
        <xdr:sp macro="" textlink="">
          <xdr:nvSpPr>
            <xdr:cNvPr id="5122" name="Button 2" hidden="1">
              <a:extLst>
                <a:ext uri="{63B3BB69-23CF-44E3-9099-C40C66FF867C}">
                  <a14:compatExt spid="_x0000_s5122"/>
                </a:ext>
                <a:ext uri="{FF2B5EF4-FFF2-40B4-BE49-F238E27FC236}">
                  <a16:creationId xmlns:a16="http://schemas.microsoft.com/office/drawing/2014/main" id="{00000000-0008-0000-06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sl-SI" sz="1200" b="0" i="0" u="none" strike="noStrike" baseline="0">
                  <a:solidFill>
                    <a:srgbClr val="000000"/>
                  </a:solidFill>
                  <a:latin typeface="System"/>
                </a:rPr>
                <a:t>Increase page length </a:t>
              </a:r>
            </a:p>
          </xdr:txBody>
        </xdr:sp>
        <xdr:clientData fPrintsWithSheet="0"/>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9525</xdr:rowOff>
    </xdr:from>
    <xdr:to>
      <xdr:col>15</xdr:col>
      <xdr:colOff>438150</xdr:colOff>
      <xdr:row>19</xdr:row>
      <xdr:rowOff>133350</xdr:rowOff>
    </xdr:to>
    <xdr:graphicFrame macro="">
      <xdr:nvGraphicFramePr>
        <xdr:cNvPr id="7172" name="Grafikon 1">
          <a:extLst>
            <a:ext uri="{FF2B5EF4-FFF2-40B4-BE49-F238E27FC236}">
              <a16:creationId xmlns:a16="http://schemas.microsoft.com/office/drawing/2014/main" id="{00000000-0008-0000-0700-0000041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133350</xdr:rowOff>
    </xdr:from>
    <xdr:to>
      <xdr:col>15</xdr:col>
      <xdr:colOff>438150</xdr:colOff>
      <xdr:row>43</xdr:row>
      <xdr:rowOff>123825</xdr:rowOff>
    </xdr:to>
    <xdr:graphicFrame macro="">
      <xdr:nvGraphicFramePr>
        <xdr:cNvPr id="7173" name="Grafikon 2">
          <a:extLst>
            <a:ext uri="{FF2B5EF4-FFF2-40B4-BE49-F238E27FC236}">
              <a16:creationId xmlns:a16="http://schemas.microsoft.com/office/drawing/2014/main" id="{00000000-0008-0000-0700-0000051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mc:AlternateContent xmlns:mc="http://schemas.openxmlformats.org/markup-compatibility/2006">
    <mc:Choice xmlns:a14="http://schemas.microsoft.com/office/drawing/2010/main" Requires="a14">
      <xdr:twoCellAnchor editAs="oneCell">
        <xdr:from>
          <xdr:col>30</xdr:col>
          <xdr:colOff>171450</xdr:colOff>
          <xdr:row>0</xdr:row>
          <xdr:rowOff>304800</xdr:rowOff>
        </xdr:from>
        <xdr:to>
          <xdr:col>32</xdr:col>
          <xdr:colOff>485775</xdr:colOff>
          <xdr:row>1</xdr:row>
          <xdr:rowOff>152400</xdr:rowOff>
        </xdr:to>
        <xdr:sp macro="" textlink="">
          <xdr:nvSpPr>
            <xdr:cNvPr id="7171" name="Button 3" hidden="1">
              <a:extLst>
                <a:ext uri="{63B3BB69-23CF-44E3-9099-C40C66FF867C}">
                  <a14:compatExt spid="_x0000_s7171"/>
                </a:ext>
                <a:ext uri="{FF2B5EF4-FFF2-40B4-BE49-F238E27FC236}">
                  <a16:creationId xmlns:a16="http://schemas.microsoft.com/office/drawing/2014/main" id="{00000000-0008-0000-0700-0000031C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0">
                <a:defRPr sz="1000"/>
              </a:pPr>
              <a:r>
                <a:rPr lang="sl-SI" sz="800" b="0" i="0" u="none" strike="noStrike" baseline="0">
                  <a:solidFill>
                    <a:srgbClr val="000000"/>
                  </a:solidFill>
                  <a:latin typeface="Arial"/>
                  <a:cs typeface="Arial"/>
                </a:rPr>
                <a:t>Go to FMEA table</a:t>
              </a:r>
            </a:p>
          </xdr:txBody>
        </xdr:sp>
        <xdr:clientData fPrintsWithSheet="0"/>
      </xdr:twoCellAnchor>
    </mc:Choice>
    <mc:Fallback/>
  </mc:AlternateContent>
</xdr:wsDr>
</file>

<file path=xl/drawings/drawing7.xml><?xml version="1.0" encoding="utf-8"?>
<c:userShapes xmlns:c="http://schemas.openxmlformats.org/drawingml/2006/chart">
  <cdr:relSizeAnchor xmlns:cdr="http://schemas.openxmlformats.org/drawingml/2006/chartDrawing">
    <cdr:from>
      <cdr:x>0.04556</cdr:x>
      <cdr:y>0.11234</cdr:y>
    </cdr:from>
    <cdr:to>
      <cdr:x>0.1812</cdr:x>
      <cdr:y>0.84516</cdr:y>
    </cdr:to>
    <cdr:sp macro="" textlink="">
      <cdr:nvSpPr>
        <cdr:cNvPr id="9217" name="Rectangle 1"/>
        <cdr:cNvSpPr>
          <a:spLocks xmlns:a="http://schemas.openxmlformats.org/drawingml/2006/main" noChangeArrowheads="1"/>
        </cdr:cNvSpPr>
      </cdr:nvSpPr>
      <cdr:spPr bwMode="auto">
        <a:xfrm xmlns:a="http://schemas.openxmlformats.org/drawingml/2006/main">
          <a:off x="440153" y="379813"/>
          <a:ext cx="1301011" cy="245700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00FF00" mc:Ignorable="a14" a14:legacySpreadsheetColorIndex="11">
            <a:alpha val="50000"/>
          </a:srgbClr>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a:lstStyle xmlns:a="http://schemas.openxmlformats.org/drawingml/2006/main"/>
        <a:p xmlns:a="http://schemas.openxmlformats.org/drawingml/2006/main">
          <a:endParaRPr lang="en-GB"/>
        </a:p>
      </cdr:txBody>
    </cdr:sp>
  </cdr:relSizeAnchor>
  <cdr:relSizeAnchor xmlns:cdr="http://schemas.openxmlformats.org/drawingml/2006/chartDrawing">
    <cdr:from>
      <cdr:x>0.1812</cdr:x>
      <cdr:y>0.10796</cdr:y>
    </cdr:from>
    <cdr:to>
      <cdr:x>0.45223</cdr:x>
      <cdr:y>0.84516</cdr:y>
    </cdr:to>
    <cdr:sp macro="" textlink="">
      <cdr:nvSpPr>
        <cdr:cNvPr id="9218" name="Rectangle 2"/>
        <cdr:cNvSpPr>
          <a:spLocks xmlns:a="http://schemas.openxmlformats.org/drawingml/2006/main" noChangeArrowheads="1"/>
        </cdr:cNvSpPr>
      </cdr:nvSpPr>
      <cdr:spPr bwMode="auto">
        <a:xfrm xmlns:a="http://schemas.openxmlformats.org/drawingml/2006/main">
          <a:off x="1741164" y="365154"/>
          <a:ext cx="2599646" cy="2471666"/>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00" mc:Ignorable="a14" a14:legacySpreadsheetColorIndex="13">
            <a:alpha val="50000"/>
          </a:srgbClr>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a:lstStyle xmlns:a="http://schemas.openxmlformats.org/drawingml/2006/main"/>
        <a:p xmlns:a="http://schemas.openxmlformats.org/drawingml/2006/main">
          <a:endParaRPr lang="en-GB"/>
        </a:p>
      </cdr:txBody>
    </cdr:sp>
  </cdr:relSizeAnchor>
  <cdr:relSizeAnchor xmlns:cdr="http://schemas.openxmlformats.org/drawingml/2006/chartDrawing">
    <cdr:from>
      <cdr:x>0.45223</cdr:x>
      <cdr:y>0.11088</cdr:y>
    </cdr:from>
    <cdr:to>
      <cdr:x>0.98909</cdr:x>
      <cdr:y>0.84516</cdr:y>
    </cdr:to>
    <cdr:sp macro="" textlink="">
      <cdr:nvSpPr>
        <cdr:cNvPr id="9219" name="Rectangle 3"/>
        <cdr:cNvSpPr>
          <a:spLocks xmlns:a="http://schemas.openxmlformats.org/drawingml/2006/main" noChangeArrowheads="1"/>
        </cdr:cNvSpPr>
      </cdr:nvSpPr>
      <cdr:spPr bwMode="auto">
        <a:xfrm xmlns:a="http://schemas.openxmlformats.org/drawingml/2006/main">
          <a:off x="4340810" y="374926"/>
          <a:ext cx="5149436" cy="2461894"/>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0000" mc:Ignorable="a14" a14:legacySpreadsheetColorIndex="10">
            <a:alpha val="50000"/>
          </a:srgbClr>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a:lstStyle xmlns:a="http://schemas.openxmlformats.org/drawingml/2006/main"/>
        <a:p xmlns:a="http://schemas.openxmlformats.org/drawingml/2006/main">
          <a:endParaRPr lang="en-GB"/>
        </a:p>
      </cdr:txBody>
    </cdr:sp>
  </cdr:relSizeAnchor>
</c:userShapes>
</file>

<file path=xl/drawings/drawing8.xml><?xml version="1.0" encoding="utf-8"?>
<c:userShapes xmlns:c="http://schemas.openxmlformats.org/drawingml/2006/chart">
  <cdr:relSizeAnchor xmlns:cdr="http://schemas.openxmlformats.org/drawingml/2006/chartDrawing">
    <cdr:from>
      <cdr:x>0.1312</cdr:x>
      <cdr:y>0.55341</cdr:y>
    </cdr:from>
    <cdr:to>
      <cdr:x>0.96335</cdr:x>
      <cdr:y>0.72558</cdr:y>
    </cdr:to>
    <cdr:sp macro="" textlink="">
      <cdr:nvSpPr>
        <cdr:cNvPr id="8193" name="Rectangle 1"/>
        <cdr:cNvSpPr>
          <a:spLocks xmlns:a="http://schemas.openxmlformats.org/drawingml/2006/main" noChangeArrowheads="1"/>
        </cdr:cNvSpPr>
      </cdr:nvSpPr>
      <cdr:spPr bwMode="auto">
        <a:xfrm xmlns:a="http://schemas.openxmlformats.org/drawingml/2006/main">
          <a:off x="1261594" y="2153830"/>
          <a:ext cx="7981745" cy="669102"/>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00FF00" mc:Ignorable="a14" a14:legacySpreadsheetColorIndex="11">
            <a:alpha val="50000"/>
          </a:srgbClr>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a:lstStyle xmlns:a="http://schemas.openxmlformats.org/drawingml/2006/main"/>
        <a:p xmlns:a="http://schemas.openxmlformats.org/drawingml/2006/main">
          <a:endParaRPr lang="en-GB"/>
        </a:p>
      </cdr:txBody>
    </cdr:sp>
  </cdr:relSizeAnchor>
  <cdr:relSizeAnchor xmlns:cdr="http://schemas.openxmlformats.org/drawingml/2006/chartDrawing">
    <cdr:from>
      <cdr:x>0.1312</cdr:x>
      <cdr:y>0.38489</cdr:y>
    </cdr:from>
    <cdr:to>
      <cdr:x>0.96335</cdr:x>
      <cdr:y>0.55341</cdr:y>
    </cdr:to>
    <cdr:sp macro="" textlink="">
      <cdr:nvSpPr>
        <cdr:cNvPr id="8194" name="Rectangle 2"/>
        <cdr:cNvSpPr>
          <a:spLocks xmlns:a="http://schemas.openxmlformats.org/drawingml/2006/main" noChangeArrowheads="1"/>
        </cdr:cNvSpPr>
      </cdr:nvSpPr>
      <cdr:spPr bwMode="auto">
        <a:xfrm xmlns:a="http://schemas.openxmlformats.org/drawingml/2006/main">
          <a:off x="1261594" y="1498943"/>
          <a:ext cx="7981745" cy="654887"/>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FF00" mc:Ignorable="a14" a14:legacySpreadsheetColorIndex="13">
            <a:alpha val="50000"/>
          </a:srgbClr>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a:lstStyle xmlns:a="http://schemas.openxmlformats.org/drawingml/2006/main"/>
        <a:p xmlns:a="http://schemas.openxmlformats.org/drawingml/2006/main">
          <a:endParaRPr lang="en-GB"/>
        </a:p>
      </cdr:txBody>
    </cdr:sp>
  </cdr:relSizeAnchor>
  <cdr:relSizeAnchor xmlns:cdr="http://schemas.openxmlformats.org/drawingml/2006/chartDrawing">
    <cdr:from>
      <cdr:x>0.1312</cdr:x>
      <cdr:y>0.21272</cdr:y>
    </cdr:from>
    <cdr:to>
      <cdr:x>0.96335</cdr:x>
      <cdr:y>0.38489</cdr:y>
    </cdr:to>
    <cdr:sp macro="" textlink="">
      <cdr:nvSpPr>
        <cdr:cNvPr id="8195" name="Rectangle 3"/>
        <cdr:cNvSpPr>
          <a:spLocks xmlns:a="http://schemas.openxmlformats.org/drawingml/2006/main" noChangeArrowheads="1"/>
        </cdr:cNvSpPr>
      </cdr:nvSpPr>
      <cdr:spPr bwMode="auto">
        <a:xfrm xmlns:a="http://schemas.openxmlformats.org/drawingml/2006/main">
          <a:off x="1261594" y="829840"/>
          <a:ext cx="7981745" cy="669103"/>
        </a:xfrm>
        <a:prstGeom xmlns:a="http://schemas.openxmlformats.org/drawingml/2006/main" prst="rect">
          <a:avLst/>
        </a:prstGeom>
        <a:solidFill xmlns:a="http://schemas.openxmlformats.org/drawingml/2006/main">
          <a:srgbClr xmlns:mc="http://schemas.openxmlformats.org/markup-compatibility/2006" xmlns:a14="http://schemas.microsoft.com/office/drawing/2010/main" val="FF0000" mc:Ignorable="a14" a14:legacySpreadsheetColorIndex="10">
            <a:alpha val="50000"/>
          </a:srgbClr>
        </a:solidFill>
        <a:ln xmlns:a="http://schemas.openxmlformats.org/drawingml/2006/main">
          <a:noFill/>
        </a:ln>
        <a:effectLst xmlns:a="http://schemas.openxmlformats.org/drawingml/2006/main"/>
        <a:extLst xmlns:a="http://schemas.openxmlformats.org/drawingml/2006/main">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cdr:spPr>
      <cdr:txBody>
        <a:bodyPr xmlns:a="http://schemas.openxmlformats.org/drawingml/2006/main"/>
        <a:lstStyle xmlns:a="http://schemas.openxmlformats.org/drawingml/2006/main"/>
        <a:p xmlns:a="http://schemas.openxmlformats.org/drawingml/2006/main">
          <a:endParaRPr lang="en-GB"/>
        </a:p>
      </cdr:txBody>
    </cdr:sp>
  </cdr:relSizeAnchor>
</c:userShapes>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600075</xdr:colOff>
          <xdr:row>0</xdr:row>
          <xdr:rowOff>133350</xdr:rowOff>
        </xdr:from>
        <xdr:to>
          <xdr:col>3</xdr:col>
          <xdr:colOff>219075</xdr:colOff>
          <xdr:row>1</xdr:row>
          <xdr:rowOff>152400</xdr:rowOff>
        </xdr:to>
        <xdr:sp macro="" textlink="">
          <xdr:nvSpPr>
            <xdr:cNvPr id="12298" name="Check Box 4" hidden="1">
              <a:extLst>
                <a:ext uri="{63B3BB69-23CF-44E3-9099-C40C66FF867C}">
                  <a14:compatExt spid="_x0000_s12298"/>
                </a:ext>
                <a:ext uri="{FF2B5EF4-FFF2-40B4-BE49-F238E27FC236}">
                  <a16:creationId xmlns:a16="http://schemas.microsoft.com/office/drawing/2014/main" id="{00000000-0008-0000-0800-00000A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sl-SI" sz="800" b="0" i="0" u="none" strike="noStrike" baseline="0">
                  <a:solidFill>
                    <a:srgbClr val="000000"/>
                  </a:solidFill>
                  <a:latin typeface="Tahoma"/>
                  <a:ea typeface="Tahoma"/>
                  <a:cs typeface="Tahoma"/>
                </a:rPr>
                <a:t>Pre-lunch    (predserija) </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200025</xdr:colOff>
          <xdr:row>0</xdr:row>
          <xdr:rowOff>142875</xdr:rowOff>
        </xdr:from>
        <xdr:to>
          <xdr:col>5</xdr:col>
          <xdr:colOff>609600</xdr:colOff>
          <xdr:row>2</xdr:row>
          <xdr:rowOff>0</xdr:rowOff>
        </xdr:to>
        <xdr:sp macro="" textlink="">
          <xdr:nvSpPr>
            <xdr:cNvPr id="12299" name="Check Box 5" hidden="1">
              <a:extLst>
                <a:ext uri="{63B3BB69-23CF-44E3-9099-C40C66FF867C}">
                  <a14:compatExt spid="_x0000_s12299"/>
                </a:ext>
                <a:ext uri="{FF2B5EF4-FFF2-40B4-BE49-F238E27FC236}">
                  <a16:creationId xmlns:a16="http://schemas.microsoft.com/office/drawing/2014/main" id="{00000000-0008-0000-0800-00000B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sl-SI" sz="800" b="0" i="0" u="none" strike="noStrike" baseline="0">
                  <a:solidFill>
                    <a:srgbClr val="000000"/>
                  </a:solidFill>
                  <a:latin typeface="Tahoma"/>
                  <a:ea typeface="Tahoma"/>
                  <a:cs typeface="Tahoma"/>
                </a:rPr>
                <a:t>Production    (proizvodnja) </a:t>
              </a:r>
            </a:p>
          </xdr:txBody>
        </xdr:sp>
        <xdr:clientData/>
      </xdr:twoCellAnchor>
    </mc:Choice>
    <mc:Fallback/>
  </mc:AlternateContent>
  <mc:AlternateContent xmlns:mc="http://schemas.openxmlformats.org/markup-compatibility/2006">
    <mc:Choice xmlns:a14="http://schemas.microsoft.com/office/drawing/2010/main" Requires="a14">
      <xdr:twoCellAnchor>
        <xdr:from>
          <xdr:col>0</xdr:col>
          <xdr:colOff>38100</xdr:colOff>
          <xdr:row>0</xdr:row>
          <xdr:rowOff>133350</xdr:rowOff>
        </xdr:from>
        <xdr:to>
          <xdr:col>1</xdr:col>
          <xdr:colOff>619125</xdr:colOff>
          <xdr:row>1</xdr:row>
          <xdr:rowOff>152400</xdr:rowOff>
        </xdr:to>
        <xdr:sp macro="" textlink="">
          <xdr:nvSpPr>
            <xdr:cNvPr id="12300" name="Check Box 6" hidden="1">
              <a:extLst>
                <a:ext uri="{63B3BB69-23CF-44E3-9099-C40C66FF867C}">
                  <a14:compatExt spid="_x0000_s12300"/>
                </a:ext>
                <a:ext uri="{FF2B5EF4-FFF2-40B4-BE49-F238E27FC236}">
                  <a16:creationId xmlns:a16="http://schemas.microsoft.com/office/drawing/2014/main" id="{00000000-0008-0000-0800-00000C3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27432" tIns="18288" rIns="0" bIns="18288" anchor="ctr" upright="1"/>
            <a:lstStyle/>
            <a:p>
              <a:pPr algn="l" rtl="0">
                <a:defRPr sz="1000"/>
              </a:pPr>
              <a:r>
                <a:rPr lang="sl-SI" sz="800" b="0" i="0" u="none" strike="noStrike" baseline="0">
                  <a:solidFill>
                    <a:srgbClr val="000000"/>
                  </a:solidFill>
                  <a:latin typeface="Tahoma"/>
                  <a:ea typeface="Tahoma"/>
                  <a:cs typeface="Tahoma"/>
                </a:rPr>
                <a:t>Prototype    (prototip) </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FMEA.WK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MEA"/>
    </sheetNames>
    <definedNames>
      <definedName name="fmea_utskrift"/>
    </definedNames>
    <sheetDataSet>
      <sheetData sheetId="0" refreshError="1"/>
    </sheetDataSet>
  </externalBook>
</externalLink>
</file>

<file path=xl/theme/theme1.xml><?xml version="1.0" encoding="utf-8"?>
<a:theme xmlns:a="http://schemas.openxmlformats.org/drawingml/2006/main" name="Officeova tema">
  <a:themeElements>
    <a:clrScheme name="Pisarn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Pisarn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isarn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4.xml"/><Relationship Id="rId13" Type="http://schemas.openxmlformats.org/officeDocument/2006/relationships/ctrlProp" Target="../ctrlProps/ctrlProp9.xml"/><Relationship Id="rId3" Type="http://schemas.openxmlformats.org/officeDocument/2006/relationships/drawing" Target="../drawings/drawing3.xml"/><Relationship Id="rId7" Type="http://schemas.openxmlformats.org/officeDocument/2006/relationships/ctrlProp" Target="../ctrlProps/ctrlProp3.xml"/><Relationship Id="rId12" Type="http://schemas.openxmlformats.org/officeDocument/2006/relationships/ctrlProp" Target="../ctrlProps/ctrlProp8.xml"/><Relationship Id="rId17" Type="http://schemas.openxmlformats.org/officeDocument/2006/relationships/comments" Target="../comments1.xml"/><Relationship Id="rId2" Type="http://schemas.openxmlformats.org/officeDocument/2006/relationships/printerSettings" Target="../printerSettings/printerSettings3.bin"/><Relationship Id="rId16" Type="http://schemas.openxmlformats.org/officeDocument/2006/relationships/ctrlProp" Target="../ctrlProps/ctrlProp12.xml"/><Relationship Id="rId1" Type="http://schemas.openxmlformats.org/officeDocument/2006/relationships/hyperlink" Target="http://techno.vtd.volvo.se/pls/csd/docs/F1489179816/968-04.1.pdf" TargetMode="External"/><Relationship Id="rId6" Type="http://schemas.openxmlformats.org/officeDocument/2006/relationships/ctrlProp" Target="../ctrlProps/ctrlProp2.xml"/><Relationship Id="rId11" Type="http://schemas.openxmlformats.org/officeDocument/2006/relationships/ctrlProp" Target="../ctrlProps/ctrlProp7.xml"/><Relationship Id="rId5" Type="http://schemas.openxmlformats.org/officeDocument/2006/relationships/ctrlProp" Target="../ctrlProps/ctrlProp1.xml"/><Relationship Id="rId15" Type="http://schemas.openxmlformats.org/officeDocument/2006/relationships/ctrlProp" Target="../ctrlProps/ctrlProp11.xml"/><Relationship Id="rId10" Type="http://schemas.openxmlformats.org/officeDocument/2006/relationships/ctrlProp" Target="../ctrlProps/ctrlProp6.xml"/><Relationship Id="rId4" Type="http://schemas.openxmlformats.org/officeDocument/2006/relationships/vmlDrawing" Target="../drawings/vmlDrawing1.vml"/><Relationship Id="rId9" Type="http://schemas.openxmlformats.org/officeDocument/2006/relationships/ctrlProp" Target="../ctrlProps/ctrlProp5.xml"/><Relationship Id="rId14" Type="http://schemas.openxmlformats.org/officeDocument/2006/relationships/ctrlProp" Target="../ctrlProps/ctrlProp10.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trlProp" Target="../ctrlProps/ctrlProp1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trlProp" Target="../ctrlProps/ctrlProp1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trlProp" Target="../ctrlProps/ctrlProp15.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7" Type="http://schemas.openxmlformats.org/officeDocument/2006/relationships/ctrlProp" Target="../ctrlProps/ctrlProp18.xml"/><Relationship Id="rId2" Type="http://schemas.openxmlformats.org/officeDocument/2006/relationships/printerSettings" Target="../printerSettings/printerSettings8.bin"/><Relationship Id="rId1" Type="http://schemas.openxmlformats.org/officeDocument/2006/relationships/hyperlink" Target="mailto:janez.jurancic@lvl.si" TargetMode="External"/><Relationship Id="rId6" Type="http://schemas.openxmlformats.org/officeDocument/2006/relationships/ctrlProp" Target="../ctrlProps/ctrlProp17.xml"/><Relationship Id="rId5" Type="http://schemas.openxmlformats.org/officeDocument/2006/relationships/ctrlProp" Target="../ctrlProps/ctrlProp16.xml"/><Relationship Id="rId4"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19" sqref="F19"/>
    </sheetView>
  </sheetViews>
  <sheetFormatPr defaultRowHeight="12.7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
  <sheetViews>
    <sheetView zoomScale="115" zoomScaleNormal="115" workbookViewId="0">
      <selection activeCell="F18" sqref="F18"/>
    </sheetView>
  </sheetViews>
  <sheetFormatPr defaultRowHeight="12.75"/>
  <cols>
    <col min="1" max="1" width="17.7109375" style="355" customWidth="1"/>
    <col min="2" max="2" width="12.85546875" style="355" customWidth="1"/>
    <col min="3" max="3" width="30.28515625" style="355" customWidth="1"/>
    <col min="4" max="4" width="28.28515625" style="355" customWidth="1"/>
    <col min="5" max="16384" width="9.140625" style="355"/>
  </cols>
  <sheetData>
    <row r="1" spans="1:4" ht="14.25" customHeight="1">
      <c r="A1" s="352" t="s">
        <v>154</v>
      </c>
      <c r="B1" s="353" t="s">
        <v>152</v>
      </c>
      <c r="C1" s="353"/>
      <c r="D1" s="354" t="s">
        <v>153</v>
      </c>
    </row>
    <row r="2" spans="1:4" ht="15.75" customHeight="1">
      <c r="A2" s="356" t="s">
        <v>145</v>
      </c>
      <c r="B2" s="357" t="s">
        <v>146</v>
      </c>
      <c r="C2" s="358" t="s">
        <v>147</v>
      </c>
      <c r="D2" s="359" t="s">
        <v>148</v>
      </c>
    </row>
    <row r="3" spans="1:4" ht="15.75" customHeight="1">
      <c r="A3" s="360"/>
      <c r="B3" s="361" t="s">
        <v>149</v>
      </c>
      <c r="C3" s="362" t="s">
        <v>150</v>
      </c>
      <c r="D3" s="363" t="s">
        <v>151</v>
      </c>
    </row>
    <row r="5" spans="1:4">
      <c r="A5" s="364" t="s">
        <v>140</v>
      </c>
    </row>
    <row r="6" spans="1:4">
      <c r="A6" s="364" t="s">
        <v>141</v>
      </c>
    </row>
    <row r="7" spans="1:4">
      <c r="A7" s="364" t="s">
        <v>142</v>
      </c>
    </row>
    <row r="8" spans="1:4">
      <c r="A8" s="364" t="s">
        <v>143</v>
      </c>
    </row>
    <row r="9" spans="1:4">
      <c r="A9" s="365" t="s">
        <v>144</v>
      </c>
    </row>
    <row r="10" spans="1:4">
      <c r="A10" s="365"/>
    </row>
    <row r="24" spans="4:4">
      <c r="D24" s="366" t="s">
        <v>155</v>
      </c>
    </row>
    <row r="25" spans="4:4">
      <c r="D25" s="367"/>
    </row>
    <row r="26" spans="4:4">
      <c r="D26" s="368" t="s">
        <v>156</v>
      </c>
    </row>
    <row r="27" spans="4:4">
      <c r="D27" s="367"/>
    </row>
    <row r="28" spans="4:4">
      <c r="D28" s="368" t="s">
        <v>157</v>
      </c>
    </row>
    <row r="29" spans="4:4">
      <c r="D29" s="367"/>
    </row>
    <row r="30" spans="4:4">
      <c r="D30" s="368" t="s">
        <v>158</v>
      </c>
    </row>
    <row r="31" spans="4:4">
      <c r="D31" s="367"/>
    </row>
    <row r="32" spans="4:4">
      <c r="D32" s="368" t="s">
        <v>159</v>
      </c>
    </row>
    <row r="33" spans="4:4">
      <c r="D33" s="367"/>
    </row>
    <row r="34" spans="4:4">
      <c r="D34" s="368" t="s">
        <v>160</v>
      </c>
    </row>
    <row r="35" spans="4:4">
      <c r="D35" s="367"/>
    </row>
    <row r="36" spans="4:4">
      <c r="D36" s="367"/>
    </row>
    <row r="37" spans="4:4">
      <c r="D37" s="367"/>
    </row>
  </sheetData>
  <mergeCells count="2">
    <mergeCell ref="B1:C1"/>
    <mergeCell ref="A2:A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7"/>
  <sheetViews>
    <sheetView tabSelected="1" topLeftCell="A4" zoomScale="130" zoomScaleNormal="130" workbookViewId="0">
      <selection activeCell="S29" sqref="S29"/>
    </sheetView>
  </sheetViews>
  <sheetFormatPr defaultRowHeight="12.75"/>
  <sheetData>
    <row r="1" spans="1:22">
      <c r="M1" s="146"/>
      <c r="N1" s="146"/>
      <c r="O1" s="146"/>
      <c r="P1" s="146"/>
      <c r="Q1" s="146"/>
      <c r="R1" s="146"/>
      <c r="S1" s="146"/>
      <c r="T1" s="146"/>
      <c r="U1" s="146"/>
      <c r="V1" s="146"/>
    </row>
    <row r="2" spans="1:22">
      <c r="M2" s="146"/>
      <c r="N2" s="146"/>
      <c r="O2" s="146"/>
      <c r="P2" s="146"/>
      <c r="Q2" s="146"/>
      <c r="R2" s="146"/>
      <c r="S2" s="146"/>
      <c r="T2" s="146"/>
      <c r="U2" s="146"/>
      <c r="V2" s="146"/>
    </row>
    <row r="3" spans="1:22">
      <c r="M3" s="146"/>
      <c r="N3" s="146"/>
      <c r="O3" s="146"/>
      <c r="P3" s="146"/>
      <c r="Q3" s="146"/>
      <c r="R3" s="146"/>
      <c r="S3" s="146"/>
      <c r="T3" s="146"/>
      <c r="U3" s="146"/>
      <c r="V3" s="146"/>
    </row>
    <row r="4" spans="1:22">
      <c r="M4" s="146"/>
      <c r="N4" s="146"/>
      <c r="O4" s="146"/>
      <c r="P4" s="146"/>
      <c r="Q4" s="146"/>
      <c r="R4" s="146"/>
      <c r="S4" s="146"/>
      <c r="T4" s="146"/>
      <c r="U4" s="146"/>
      <c r="V4" s="146"/>
    </row>
    <row r="5" spans="1:22" ht="23.25">
      <c r="A5" s="208" t="s">
        <v>161</v>
      </c>
      <c r="B5" s="208"/>
      <c r="C5" s="208"/>
      <c r="D5" s="208"/>
      <c r="E5" s="208"/>
      <c r="F5" s="208"/>
      <c r="M5" s="146"/>
      <c r="N5" s="146"/>
      <c r="O5" s="146"/>
      <c r="P5" s="146"/>
      <c r="Q5" s="146"/>
      <c r="R5" s="146"/>
      <c r="S5" s="146"/>
      <c r="T5" s="146"/>
      <c r="U5" s="146"/>
      <c r="V5" s="146"/>
    </row>
    <row r="6" spans="1:22">
      <c r="M6" s="146"/>
      <c r="N6" s="146"/>
      <c r="O6" s="146"/>
      <c r="P6" s="146"/>
      <c r="Q6" s="146"/>
      <c r="R6" s="146"/>
      <c r="S6" s="146"/>
      <c r="T6" s="146"/>
      <c r="U6" s="146"/>
      <c r="V6" s="146"/>
    </row>
    <row r="7" spans="1:22" ht="15.75">
      <c r="A7" s="207">
        <v>1</v>
      </c>
      <c r="B7" s="207"/>
      <c r="C7" s="207"/>
      <c r="D7" s="207"/>
      <c r="E7" s="207"/>
      <c r="F7" s="207"/>
      <c r="G7" s="207"/>
      <c r="H7" s="207"/>
      <c r="I7" s="207"/>
      <c r="J7" s="207"/>
      <c r="K7" s="207"/>
      <c r="L7" s="207"/>
      <c r="M7" s="146"/>
      <c r="N7" s="146"/>
      <c r="O7" s="146"/>
      <c r="P7" s="146"/>
      <c r="Q7" s="146"/>
      <c r="R7" s="146"/>
      <c r="S7" s="146"/>
      <c r="T7" s="146"/>
      <c r="U7" s="146"/>
      <c r="V7" s="146"/>
    </row>
    <row r="8" spans="1:22">
      <c r="A8" s="148"/>
      <c r="B8" s="148"/>
      <c r="C8" s="148"/>
      <c r="D8" s="148"/>
      <c r="E8" s="148"/>
      <c r="F8" s="149"/>
      <c r="G8" s="148"/>
      <c r="H8" s="148"/>
      <c r="I8" s="148"/>
      <c r="J8" s="148"/>
      <c r="K8" s="148"/>
      <c r="L8" s="148"/>
      <c r="M8" s="146"/>
      <c r="N8" s="146"/>
      <c r="O8" s="146"/>
      <c r="P8" s="146"/>
      <c r="Q8" s="146"/>
      <c r="R8" s="146"/>
      <c r="S8" s="146"/>
      <c r="T8" s="146"/>
      <c r="U8" s="146"/>
      <c r="V8" s="146"/>
    </row>
    <row r="9" spans="1:22">
      <c r="A9" s="148"/>
      <c r="B9" s="148"/>
      <c r="C9" s="148"/>
      <c r="D9" s="148"/>
      <c r="E9" s="148"/>
      <c r="F9" s="149"/>
      <c r="G9" s="148"/>
      <c r="H9" s="148"/>
      <c r="I9" s="148"/>
      <c r="J9" s="148"/>
      <c r="K9" s="148"/>
      <c r="L9" s="148"/>
      <c r="M9" s="146"/>
      <c r="N9" s="146"/>
      <c r="O9" s="146"/>
      <c r="P9" s="146"/>
      <c r="Q9" s="146"/>
      <c r="R9" s="146"/>
      <c r="S9" s="146"/>
      <c r="T9" s="146"/>
      <c r="U9" s="146"/>
      <c r="V9" s="146"/>
    </row>
    <row r="10" spans="1:22">
      <c r="A10" s="148"/>
      <c r="B10" s="148"/>
      <c r="C10" s="148"/>
      <c r="D10" s="148"/>
      <c r="E10" s="148"/>
      <c r="F10" s="149"/>
      <c r="G10" s="148"/>
      <c r="H10" s="148"/>
      <c r="I10" s="148"/>
      <c r="J10" s="148"/>
      <c r="K10" s="148"/>
      <c r="L10" s="148"/>
      <c r="M10" s="146"/>
      <c r="N10" s="146"/>
      <c r="O10" s="146"/>
      <c r="P10" s="146"/>
      <c r="Q10" s="146"/>
      <c r="R10" s="146"/>
      <c r="S10" s="146"/>
      <c r="T10" s="146"/>
      <c r="U10" s="146"/>
      <c r="V10" s="146"/>
    </row>
    <row r="11" spans="1:22" ht="15.75">
      <c r="A11" s="148"/>
      <c r="B11" s="148"/>
      <c r="C11" s="148"/>
      <c r="D11" s="148"/>
      <c r="E11" s="148"/>
      <c r="F11" s="150"/>
      <c r="G11" s="148"/>
      <c r="H11" s="148"/>
      <c r="I11" s="148"/>
      <c r="J11" s="148"/>
      <c r="K11" s="148"/>
      <c r="L11" s="148"/>
      <c r="M11" s="146"/>
      <c r="N11" s="146"/>
      <c r="O11" s="146"/>
      <c r="P11" s="146"/>
      <c r="Q11" s="146"/>
      <c r="R11" s="146"/>
      <c r="S11" s="146"/>
      <c r="T11" s="146"/>
      <c r="U11" s="146"/>
      <c r="V11" s="146"/>
    </row>
    <row r="12" spans="1:22">
      <c r="F12" s="131"/>
      <c r="M12" s="146"/>
      <c r="N12" s="146"/>
      <c r="O12" s="146"/>
      <c r="P12" s="146"/>
      <c r="Q12" s="146"/>
      <c r="R12" s="146"/>
      <c r="S12" s="146"/>
      <c r="T12" s="146"/>
      <c r="U12" s="146"/>
      <c r="V12" s="146"/>
    </row>
    <row r="13" spans="1:22" ht="15.75">
      <c r="A13" s="207">
        <v>2</v>
      </c>
      <c r="B13" s="207"/>
      <c r="C13" s="207"/>
      <c r="D13" s="207"/>
      <c r="E13" s="207"/>
      <c r="F13" s="207"/>
      <c r="G13" s="207"/>
      <c r="H13" s="207"/>
      <c r="I13" s="207"/>
      <c r="J13" s="207"/>
      <c r="K13" s="207"/>
      <c r="L13" s="207"/>
      <c r="M13" s="146"/>
      <c r="N13" s="146"/>
      <c r="O13" s="146"/>
      <c r="P13" s="146"/>
      <c r="Q13" s="146"/>
      <c r="R13" s="146"/>
      <c r="S13" s="146"/>
      <c r="T13" s="146"/>
      <c r="U13" s="146"/>
      <c r="V13" s="146"/>
    </row>
    <row r="14" spans="1:22">
      <c r="A14" s="148"/>
      <c r="B14" s="148"/>
      <c r="C14" s="148"/>
      <c r="D14" s="148"/>
      <c r="E14" s="148"/>
      <c r="F14" s="149"/>
      <c r="G14" s="148"/>
      <c r="H14" s="148"/>
      <c r="I14" s="148"/>
      <c r="J14" s="148"/>
      <c r="K14" s="148"/>
      <c r="L14" s="148"/>
      <c r="M14" s="146"/>
      <c r="N14" s="146"/>
      <c r="O14" s="146"/>
      <c r="P14" s="146"/>
      <c r="Q14" s="146"/>
      <c r="R14" s="146"/>
      <c r="S14" s="146"/>
      <c r="T14" s="146"/>
      <c r="U14" s="146"/>
      <c r="V14" s="146"/>
    </row>
    <row r="15" spans="1:22">
      <c r="A15" s="148"/>
      <c r="B15" s="148"/>
      <c r="C15" s="148"/>
      <c r="D15" s="148"/>
      <c r="E15" s="148"/>
      <c r="F15" s="149"/>
      <c r="G15" s="148"/>
      <c r="H15" s="148"/>
      <c r="I15" s="148"/>
      <c r="J15" s="148"/>
      <c r="K15" s="148"/>
      <c r="L15" s="148"/>
      <c r="M15" s="146"/>
      <c r="N15" s="146"/>
      <c r="O15" s="146"/>
      <c r="P15" s="146"/>
      <c r="Q15" s="146"/>
      <c r="R15" s="146"/>
      <c r="S15" s="146"/>
      <c r="T15" s="146"/>
      <c r="U15" s="146"/>
      <c r="V15" s="146"/>
    </row>
    <row r="16" spans="1:22">
      <c r="A16" s="148"/>
      <c r="B16" s="148"/>
      <c r="C16" s="148"/>
      <c r="D16" s="148"/>
      <c r="E16" s="148"/>
      <c r="F16" s="149"/>
      <c r="G16" s="148"/>
      <c r="H16" s="148"/>
      <c r="I16" s="148"/>
      <c r="J16" s="148"/>
      <c r="K16" s="148"/>
      <c r="L16" s="148"/>
      <c r="M16" s="146"/>
      <c r="N16" s="146"/>
      <c r="O16" s="146"/>
      <c r="P16" s="146"/>
      <c r="Q16" s="146"/>
      <c r="R16" s="146"/>
      <c r="S16" s="146"/>
      <c r="T16" s="146"/>
      <c r="U16" s="146"/>
      <c r="V16" s="146"/>
    </row>
    <row r="17" spans="1:22" ht="15.75">
      <c r="A17" s="148"/>
      <c r="B17" s="148"/>
      <c r="C17" s="148"/>
      <c r="D17" s="148"/>
      <c r="E17" s="148"/>
      <c r="F17" s="150"/>
      <c r="G17" s="148"/>
      <c r="H17" s="148"/>
      <c r="I17" s="148"/>
      <c r="J17" s="148"/>
      <c r="K17" s="148"/>
      <c r="L17" s="148"/>
      <c r="M17" s="146"/>
      <c r="N17" s="146"/>
      <c r="O17" s="146"/>
      <c r="P17" s="146"/>
      <c r="Q17" s="146"/>
      <c r="R17" s="146"/>
      <c r="S17" s="146"/>
      <c r="T17" s="146"/>
      <c r="U17" s="146"/>
      <c r="V17" s="146"/>
    </row>
    <row r="18" spans="1:22">
      <c r="F18" s="132"/>
      <c r="M18" s="146"/>
      <c r="N18" s="146"/>
      <c r="O18" s="146"/>
      <c r="P18" s="146"/>
      <c r="Q18" s="146"/>
      <c r="R18" s="146"/>
      <c r="S18" s="146"/>
      <c r="T18" s="146"/>
      <c r="U18" s="146"/>
      <c r="V18" s="146"/>
    </row>
    <row r="19" spans="1:22" ht="15.75">
      <c r="A19" s="207">
        <v>5</v>
      </c>
      <c r="B19" s="207"/>
      <c r="C19" s="207"/>
      <c r="D19" s="207"/>
      <c r="E19" s="207"/>
      <c r="F19" s="207"/>
      <c r="G19" s="207"/>
      <c r="H19" s="207"/>
      <c r="I19" s="207"/>
      <c r="J19" s="207"/>
      <c r="K19" s="207"/>
      <c r="L19" s="207"/>
      <c r="M19" s="146"/>
      <c r="N19" s="146"/>
      <c r="O19" s="146"/>
      <c r="P19" s="146"/>
      <c r="Q19" s="146"/>
      <c r="R19" s="146"/>
      <c r="S19" s="146"/>
      <c r="T19" s="146"/>
      <c r="U19" s="146"/>
      <c r="V19" s="146"/>
    </row>
    <row r="20" spans="1:22">
      <c r="A20" s="148"/>
      <c r="B20" s="148"/>
      <c r="C20" s="148"/>
      <c r="D20" s="148"/>
      <c r="E20" s="148"/>
      <c r="F20" s="149"/>
      <c r="G20" s="148"/>
      <c r="H20" s="148"/>
      <c r="I20" s="148"/>
      <c r="J20" s="148"/>
      <c r="K20" s="148"/>
      <c r="L20" s="148"/>
      <c r="M20" s="146"/>
      <c r="N20" s="146"/>
      <c r="O20" s="146"/>
      <c r="P20" s="146"/>
      <c r="Q20" s="146"/>
      <c r="R20" s="146"/>
      <c r="S20" s="146"/>
      <c r="T20" s="146"/>
      <c r="U20" s="146"/>
      <c r="V20" s="146"/>
    </row>
    <row r="21" spans="1:22">
      <c r="A21" s="148"/>
      <c r="B21" s="148"/>
      <c r="C21" s="148"/>
      <c r="D21" s="148"/>
      <c r="E21" s="148"/>
      <c r="F21" s="149"/>
      <c r="G21" s="148"/>
      <c r="H21" s="148"/>
      <c r="I21" s="148"/>
      <c r="J21" s="148"/>
      <c r="K21" s="148"/>
      <c r="L21" s="148"/>
      <c r="M21" s="146"/>
      <c r="N21" s="146"/>
      <c r="O21" s="146"/>
      <c r="P21" s="146"/>
      <c r="Q21" s="146"/>
      <c r="R21" s="146"/>
      <c r="S21" s="146"/>
      <c r="T21" s="146"/>
      <c r="U21" s="146"/>
      <c r="V21" s="146"/>
    </row>
    <row r="22" spans="1:22">
      <c r="A22" s="148"/>
      <c r="B22" s="148"/>
      <c r="C22" s="148"/>
      <c r="D22" s="148"/>
      <c r="E22" s="148"/>
      <c r="F22" s="149"/>
      <c r="G22" s="148"/>
      <c r="H22" s="148"/>
      <c r="I22" s="148"/>
      <c r="J22" s="148"/>
      <c r="K22" s="148"/>
      <c r="L22" s="148"/>
      <c r="M22" s="146"/>
      <c r="N22" s="146"/>
      <c r="O22" s="146"/>
      <c r="P22" s="146"/>
      <c r="Q22" s="146"/>
      <c r="R22" s="146"/>
      <c r="S22" s="146"/>
      <c r="T22" s="146"/>
      <c r="U22" s="146"/>
      <c r="V22" s="146"/>
    </row>
    <row r="23" spans="1:22" ht="15.75">
      <c r="A23" s="148"/>
      <c r="B23" s="148"/>
      <c r="C23" s="148"/>
      <c r="D23" s="148"/>
      <c r="E23" s="148"/>
      <c r="F23" s="150"/>
      <c r="G23" s="148"/>
      <c r="H23" s="148"/>
      <c r="I23" s="148"/>
      <c r="J23" s="148"/>
      <c r="K23" s="148"/>
      <c r="L23" s="148"/>
      <c r="M23" s="146"/>
      <c r="N23" s="146"/>
      <c r="O23" s="146"/>
      <c r="P23" s="146"/>
      <c r="Q23" s="146"/>
      <c r="R23" s="146"/>
      <c r="S23" s="146"/>
      <c r="T23" s="146"/>
      <c r="U23" s="146"/>
      <c r="V23" s="146"/>
    </row>
    <row r="24" spans="1:22">
      <c r="F24" s="131"/>
      <c r="M24" s="146"/>
      <c r="N24" s="146"/>
      <c r="O24" s="146"/>
      <c r="P24" s="146"/>
      <c r="Q24" s="146"/>
      <c r="R24" s="146"/>
      <c r="S24" s="146"/>
      <c r="T24" s="146"/>
      <c r="U24" s="146"/>
      <c r="V24" s="146"/>
    </row>
    <row r="25" spans="1:22" ht="15.75">
      <c r="A25" s="206" t="s">
        <v>198</v>
      </c>
      <c r="B25" s="206"/>
      <c r="C25" s="206"/>
      <c r="D25" s="206"/>
      <c r="E25" s="206"/>
      <c r="F25" s="206"/>
      <c r="G25" s="206"/>
      <c r="H25" s="206"/>
      <c r="I25" s="206"/>
      <c r="J25" s="206"/>
      <c r="K25" s="206"/>
      <c r="L25" s="206"/>
      <c r="M25" s="146"/>
      <c r="N25" s="146"/>
      <c r="O25" s="146"/>
      <c r="P25" s="146"/>
      <c r="Q25" s="146"/>
      <c r="R25" s="146"/>
      <c r="S25" s="146"/>
      <c r="T25" s="146"/>
      <c r="U25" s="146"/>
      <c r="V25" s="146"/>
    </row>
    <row r="26" spans="1:22">
      <c r="A26" s="148"/>
      <c r="B26" s="148"/>
      <c r="C26" s="148"/>
      <c r="D26" s="148"/>
      <c r="E26" s="148"/>
      <c r="F26" s="149"/>
      <c r="G26" s="148"/>
      <c r="H26" s="148"/>
      <c r="I26" s="148"/>
      <c r="J26" s="148"/>
      <c r="K26" s="148"/>
      <c r="L26" s="148"/>
    </row>
    <row r="27" spans="1:22">
      <c r="A27" s="148"/>
      <c r="B27" s="148"/>
      <c r="C27" s="148"/>
      <c r="D27" s="148"/>
      <c r="E27" s="148"/>
      <c r="F27" s="149"/>
      <c r="G27" s="148"/>
      <c r="H27" s="148"/>
      <c r="I27" s="148"/>
      <c r="J27" s="148"/>
      <c r="K27" s="148"/>
      <c r="L27" s="148"/>
    </row>
    <row r="28" spans="1:22">
      <c r="A28" s="148"/>
      <c r="B28" s="148"/>
      <c r="C28" s="148"/>
      <c r="D28" s="148"/>
      <c r="E28" s="148"/>
      <c r="F28" s="149"/>
      <c r="G28" s="148"/>
      <c r="H28" s="148"/>
      <c r="I28" s="148"/>
      <c r="J28" s="148"/>
      <c r="K28" s="148"/>
      <c r="L28" s="148"/>
    </row>
    <row r="29" spans="1:22" ht="15.75">
      <c r="A29" s="148"/>
      <c r="B29" s="148"/>
      <c r="C29" s="148"/>
      <c r="D29" s="148"/>
      <c r="E29" s="148"/>
      <c r="F29" s="150"/>
      <c r="G29" s="148"/>
      <c r="H29" s="148"/>
      <c r="I29" s="148"/>
      <c r="J29" s="148"/>
      <c r="K29" s="148"/>
      <c r="L29" s="148"/>
    </row>
    <row r="30" spans="1:22">
      <c r="A30" s="146"/>
      <c r="B30" s="146"/>
      <c r="C30" s="146"/>
      <c r="D30" s="146"/>
      <c r="E30" s="146"/>
      <c r="F30" s="147"/>
      <c r="G30" s="146"/>
      <c r="H30" s="146"/>
      <c r="I30" s="146"/>
      <c r="J30" s="146"/>
      <c r="K30" s="146"/>
      <c r="L30" s="146"/>
    </row>
    <row r="31" spans="1:22" ht="15.75">
      <c r="A31" s="207">
        <v>10</v>
      </c>
      <c r="B31" s="207"/>
      <c r="C31" s="207"/>
      <c r="D31" s="207"/>
      <c r="E31" s="207"/>
      <c r="F31" s="207"/>
      <c r="G31" s="207"/>
      <c r="H31" s="207"/>
      <c r="I31" s="207"/>
      <c r="J31" s="207"/>
      <c r="K31" s="207"/>
      <c r="L31" s="207"/>
    </row>
    <row r="32" spans="1:22">
      <c r="A32" s="148"/>
      <c r="B32" s="148"/>
      <c r="C32" s="148"/>
      <c r="D32" s="148"/>
      <c r="E32" s="148"/>
      <c r="F32" s="149"/>
      <c r="G32" s="148"/>
      <c r="H32" s="148"/>
      <c r="I32" s="148"/>
      <c r="J32" s="148"/>
      <c r="K32" s="148"/>
      <c r="L32" s="148"/>
    </row>
    <row r="33" spans="1:12">
      <c r="A33" s="148"/>
      <c r="B33" s="148"/>
      <c r="C33" s="148"/>
      <c r="D33" s="148"/>
      <c r="E33" s="148"/>
      <c r="F33" s="149"/>
      <c r="G33" s="148"/>
      <c r="H33" s="148"/>
      <c r="I33" s="148"/>
      <c r="J33" s="148"/>
      <c r="K33" s="148"/>
      <c r="L33" s="148"/>
    </row>
    <row r="34" spans="1:12">
      <c r="A34" s="148"/>
      <c r="B34" s="148"/>
      <c r="C34" s="148"/>
      <c r="D34" s="148"/>
      <c r="E34" s="148"/>
      <c r="F34" s="149"/>
      <c r="G34" s="148"/>
      <c r="H34" s="148"/>
      <c r="I34" s="148"/>
      <c r="J34" s="148"/>
      <c r="K34" s="148"/>
      <c r="L34" s="148"/>
    </row>
    <row r="35" spans="1:12">
      <c r="A35" s="148"/>
      <c r="B35" s="148"/>
      <c r="C35" s="148"/>
      <c r="D35" s="148"/>
      <c r="E35" s="148"/>
      <c r="F35" s="149"/>
      <c r="G35" s="148"/>
      <c r="H35" s="148"/>
      <c r="I35" s="148"/>
      <c r="J35" s="148"/>
      <c r="K35" s="148"/>
      <c r="L35" s="148"/>
    </row>
    <row r="36" spans="1:12">
      <c r="A36" s="148"/>
      <c r="B36" s="148"/>
      <c r="C36" s="148"/>
      <c r="D36" s="148"/>
      <c r="E36" s="148"/>
      <c r="F36" s="149"/>
      <c r="G36" s="148"/>
      <c r="H36" s="148"/>
      <c r="I36" s="148"/>
      <c r="J36" s="148"/>
      <c r="K36" s="148"/>
      <c r="L36" s="148"/>
    </row>
    <row r="37" spans="1:12">
      <c r="A37" s="148"/>
      <c r="B37" s="148"/>
      <c r="C37" s="148"/>
      <c r="D37" s="148"/>
      <c r="E37" s="148"/>
      <c r="F37" s="149"/>
      <c r="G37" s="148"/>
      <c r="H37" s="148"/>
      <c r="I37" s="148"/>
      <c r="J37" s="148"/>
      <c r="K37" s="148"/>
      <c r="L37" s="148"/>
    </row>
    <row r="38" spans="1:12">
      <c r="A38" s="148"/>
      <c r="B38" s="148"/>
      <c r="C38" s="148"/>
      <c r="D38" s="148"/>
      <c r="E38" s="148"/>
      <c r="F38" s="149"/>
      <c r="G38" s="148"/>
      <c r="H38" s="148"/>
      <c r="I38" s="148"/>
      <c r="J38" s="148"/>
      <c r="K38" s="148"/>
      <c r="L38" s="148"/>
    </row>
    <row r="39" spans="1:12">
      <c r="A39" s="148"/>
      <c r="B39" s="148"/>
      <c r="C39" s="148"/>
      <c r="D39" s="148"/>
      <c r="E39" s="148"/>
      <c r="F39" s="149"/>
      <c r="G39" s="148"/>
      <c r="H39" s="148"/>
      <c r="I39" s="148"/>
      <c r="J39" s="148"/>
      <c r="K39" s="148"/>
      <c r="L39" s="148"/>
    </row>
    <row r="40" spans="1:12">
      <c r="F40" s="131"/>
    </row>
    <row r="41" spans="1:12" ht="15.75">
      <c r="A41" s="206" t="s">
        <v>199</v>
      </c>
      <c r="B41" s="206"/>
      <c r="C41" s="206"/>
      <c r="D41" s="206"/>
      <c r="E41" s="206"/>
      <c r="F41" s="206"/>
      <c r="G41" s="206"/>
      <c r="H41" s="206"/>
      <c r="I41" s="206"/>
      <c r="J41" s="206"/>
      <c r="K41" s="206"/>
      <c r="L41" s="206"/>
    </row>
    <row r="42" spans="1:12">
      <c r="A42" s="148"/>
      <c r="B42" s="148"/>
      <c r="C42" s="148"/>
      <c r="D42" s="148"/>
      <c r="E42" s="148"/>
      <c r="F42" s="149"/>
      <c r="G42" s="148"/>
      <c r="H42" s="148"/>
      <c r="I42" s="148"/>
      <c r="J42" s="148"/>
      <c r="K42" s="148"/>
      <c r="L42" s="148"/>
    </row>
    <row r="43" spans="1:12">
      <c r="A43" s="148"/>
      <c r="B43" s="148"/>
      <c r="C43" s="148"/>
      <c r="D43" s="148"/>
      <c r="E43" s="148"/>
      <c r="F43" s="149"/>
      <c r="G43" s="148"/>
      <c r="H43" s="148"/>
      <c r="I43" s="148"/>
      <c r="J43" s="148"/>
      <c r="K43" s="148"/>
      <c r="L43" s="148"/>
    </row>
    <row r="44" spans="1:12">
      <c r="A44" s="148"/>
      <c r="B44" s="148"/>
      <c r="C44" s="148"/>
      <c r="D44" s="148"/>
      <c r="E44" s="148"/>
      <c r="F44" s="149"/>
      <c r="G44" s="148"/>
      <c r="H44" s="148"/>
      <c r="I44" s="148"/>
      <c r="J44" s="148"/>
      <c r="K44" s="148"/>
      <c r="L44" s="148"/>
    </row>
    <row r="45" spans="1:12" ht="15.75">
      <c r="A45" s="148"/>
      <c r="B45" s="148"/>
      <c r="C45" s="148"/>
      <c r="D45" s="148"/>
      <c r="E45" s="148"/>
      <c r="F45" s="150"/>
      <c r="G45" s="148"/>
      <c r="H45" s="148"/>
      <c r="I45" s="148"/>
      <c r="J45" s="148"/>
      <c r="K45" s="148"/>
      <c r="L45" s="148"/>
    </row>
    <row r="46" spans="1:12">
      <c r="F46" s="131"/>
    </row>
    <row r="47" spans="1:12" ht="15.75">
      <c r="A47" s="206" t="s">
        <v>200</v>
      </c>
      <c r="B47" s="206"/>
      <c r="C47" s="206"/>
      <c r="D47" s="206"/>
      <c r="E47" s="206"/>
      <c r="F47" s="206"/>
      <c r="G47" s="206"/>
      <c r="H47" s="206"/>
      <c r="I47" s="206"/>
      <c r="J47" s="206"/>
      <c r="K47" s="206"/>
      <c r="L47" s="206"/>
    </row>
    <row r="48" spans="1:12">
      <c r="A48" s="148"/>
      <c r="B48" s="148"/>
      <c r="C48" s="148"/>
      <c r="D48" s="148"/>
      <c r="E48" s="148"/>
      <c r="F48" s="149"/>
      <c r="G48" s="148"/>
      <c r="H48" s="148"/>
      <c r="I48" s="148"/>
      <c r="J48" s="148"/>
      <c r="K48" s="148"/>
      <c r="L48" s="148"/>
    </row>
    <row r="49" spans="1:12">
      <c r="A49" s="148"/>
      <c r="B49" s="148"/>
      <c r="C49" s="148"/>
      <c r="D49" s="148"/>
      <c r="E49" s="148"/>
      <c r="F49" s="149"/>
      <c r="G49" s="148"/>
      <c r="H49" s="148"/>
      <c r="I49" s="148"/>
      <c r="J49" s="148"/>
      <c r="K49" s="148"/>
      <c r="L49" s="148"/>
    </row>
    <row r="50" spans="1:12">
      <c r="A50" s="148"/>
      <c r="B50" s="148"/>
      <c r="C50" s="148"/>
      <c r="D50" s="148"/>
      <c r="E50" s="148"/>
      <c r="F50" s="149"/>
      <c r="G50" s="148"/>
      <c r="H50" s="148"/>
      <c r="I50" s="148"/>
      <c r="J50" s="148"/>
      <c r="K50" s="148"/>
      <c r="L50" s="148"/>
    </row>
    <row r="51" spans="1:12" ht="15.75">
      <c r="A51" s="148"/>
      <c r="B51" s="148"/>
      <c r="C51" s="148"/>
      <c r="D51" s="148"/>
      <c r="E51" s="148"/>
      <c r="F51" s="150"/>
      <c r="G51" s="148"/>
      <c r="H51" s="148"/>
      <c r="I51" s="148"/>
      <c r="J51" s="148"/>
      <c r="K51" s="148"/>
      <c r="L51" s="148"/>
    </row>
    <row r="52" spans="1:12">
      <c r="A52" s="148"/>
      <c r="B52" s="148"/>
      <c r="C52" s="148"/>
      <c r="D52" s="148"/>
      <c r="E52" s="148"/>
      <c r="F52" s="151"/>
      <c r="G52" s="148"/>
      <c r="H52" s="148"/>
      <c r="I52" s="148"/>
      <c r="J52" s="148"/>
      <c r="K52" s="148"/>
      <c r="L52" s="148"/>
    </row>
    <row r="53" spans="1:12">
      <c r="A53" s="148"/>
      <c r="B53" s="148"/>
      <c r="C53" s="148"/>
      <c r="D53" s="148"/>
      <c r="E53" s="148"/>
      <c r="F53" s="152"/>
      <c r="G53" s="148"/>
      <c r="H53" s="148"/>
      <c r="I53" s="148"/>
      <c r="J53" s="148"/>
      <c r="K53" s="148"/>
      <c r="L53" s="148"/>
    </row>
    <row r="54" spans="1:12" ht="15.75">
      <c r="A54" s="148"/>
      <c r="B54" s="148"/>
      <c r="C54" s="148"/>
      <c r="D54" s="148"/>
      <c r="E54" s="148"/>
      <c r="F54" s="153"/>
      <c r="G54" s="148"/>
      <c r="H54" s="148"/>
      <c r="I54" s="148"/>
      <c r="J54" s="148"/>
      <c r="K54" s="148"/>
      <c r="L54" s="148"/>
    </row>
    <row r="55" spans="1:12" ht="15.75">
      <c r="A55" s="148"/>
      <c r="B55" s="148"/>
      <c r="C55" s="148"/>
      <c r="D55" s="148"/>
      <c r="E55" s="148"/>
      <c r="F55" s="154"/>
      <c r="G55" s="148"/>
      <c r="H55" s="148"/>
      <c r="I55" s="148"/>
      <c r="J55" s="148"/>
      <c r="K55" s="148"/>
      <c r="L55" s="148"/>
    </row>
    <row r="56" spans="1:12">
      <c r="F56" s="134"/>
    </row>
    <row r="57" spans="1:12" ht="15.75">
      <c r="A57" s="206" t="s">
        <v>201</v>
      </c>
      <c r="B57" s="206"/>
      <c r="C57" s="206"/>
      <c r="D57" s="206"/>
      <c r="E57" s="206"/>
      <c r="F57" s="206"/>
      <c r="G57" s="206"/>
      <c r="H57" s="206"/>
      <c r="I57" s="206"/>
      <c r="J57" s="206"/>
      <c r="K57" s="206"/>
      <c r="L57" s="206"/>
    </row>
    <row r="58" spans="1:12" ht="15.75">
      <c r="A58" s="148"/>
      <c r="B58" s="148"/>
      <c r="C58" s="148"/>
      <c r="D58" s="148"/>
      <c r="E58" s="148"/>
      <c r="F58" s="155"/>
      <c r="G58" s="148"/>
      <c r="H58" s="148"/>
      <c r="I58" s="148"/>
      <c r="J58" s="148"/>
      <c r="K58" s="148"/>
      <c r="L58" s="148"/>
    </row>
    <row r="59" spans="1:12" ht="15.75">
      <c r="A59" s="148"/>
      <c r="B59" s="148"/>
      <c r="C59" s="148"/>
      <c r="D59" s="148"/>
      <c r="E59" s="148"/>
      <c r="F59" s="154"/>
      <c r="G59" s="148"/>
      <c r="H59" s="148"/>
      <c r="I59" s="148"/>
      <c r="J59" s="148"/>
      <c r="K59" s="148"/>
      <c r="L59" s="148"/>
    </row>
    <row r="60" spans="1:12" ht="15.75">
      <c r="A60" s="148"/>
      <c r="B60" s="148"/>
      <c r="C60" s="148"/>
      <c r="D60" s="148"/>
      <c r="E60" s="148"/>
      <c r="F60" s="155"/>
      <c r="G60" s="148"/>
      <c r="H60" s="148"/>
      <c r="I60" s="148"/>
      <c r="J60" s="148"/>
      <c r="K60" s="148"/>
      <c r="L60" s="148"/>
    </row>
    <row r="61" spans="1:12">
      <c r="A61" s="148"/>
      <c r="B61" s="148"/>
      <c r="C61" s="148"/>
      <c r="D61" s="148"/>
      <c r="E61" s="148"/>
      <c r="F61" s="156"/>
      <c r="G61" s="148"/>
      <c r="H61" s="148"/>
      <c r="I61" s="148"/>
      <c r="J61" s="148"/>
      <c r="K61" s="148"/>
      <c r="L61" s="148"/>
    </row>
    <row r="62" spans="1:12" ht="15.75">
      <c r="F62" s="133"/>
    </row>
    <row r="63" spans="1:12" ht="15.75">
      <c r="A63" s="206" t="s">
        <v>202</v>
      </c>
      <c r="B63" s="206"/>
      <c r="C63" s="206"/>
      <c r="D63" s="206"/>
      <c r="E63" s="206"/>
      <c r="F63" s="206"/>
      <c r="G63" s="206"/>
      <c r="H63" s="206"/>
      <c r="I63" s="206"/>
      <c r="J63" s="206"/>
      <c r="K63" s="206"/>
      <c r="L63" s="206"/>
    </row>
    <row r="64" spans="1:12" ht="15.75">
      <c r="A64" s="148"/>
      <c r="B64" s="148"/>
      <c r="C64" s="148"/>
      <c r="D64" s="148"/>
      <c r="E64" s="148"/>
      <c r="F64" s="155"/>
      <c r="G64" s="148"/>
      <c r="H64" s="148"/>
      <c r="I64" s="148"/>
      <c r="J64" s="148"/>
      <c r="K64" s="148"/>
      <c r="L64" s="148"/>
    </row>
    <row r="65" spans="1:12" ht="15.75">
      <c r="A65" s="148"/>
      <c r="B65" s="148"/>
      <c r="C65" s="148"/>
      <c r="D65" s="148"/>
      <c r="E65" s="148"/>
      <c r="F65" s="154"/>
      <c r="G65" s="148"/>
      <c r="H65" s="148"/>
      <c r="I65" s="148"/>
      <c r="J65" s="148"/>
      <c r="K65" s="148"/>
      <c r="L65" s="148"/>
    </row>
    <row r="66" spans="1:12" ht="15.75">
      <c r="A66" s="148"/>
      <c r="B66" s="148"/>
      <c r="C66" s="148"/>
      <c r="D66" s="148"/>
      <c r="E66" s="148"/>
      <c r="F66" s="155"/>
      <c r="G66" s="148"/>
      <c r="H66" s="148"/>
      <c r="I66" s="148"/>
      <c r="J66" s="148"/>
      <c r="K66" s="148"/>
      <c r="L66" s="148"/>
    </row>
    <row r="67" spans="1:12" ht="15.75">
      <c r="F67" s="135"/>
    </row>
    <row r="68" spans="1:12" ht="15.75">
      <c r="A68" s="206" t="s">
        <v>203</v>
      </c>
      <c r="B68" s="206"/>
      <c r="C68" s="206"/>
      <c r="D68" s="206"/>
      <c r="E68" s="206"/>
      <c r="F68" s="206"/>
      <c r="G68" s="206"/>
      <c r="H68" s="206"/>
      <c r="I68" s="206"/>
      <c r="J68" s="206"/>
      <c r="K68" s="206"/>
      <c r="L68" s="206"/>
    </row>
    <row r="69" spans="1:12">
      <c r="A69" s="148"/>
      <c r="B69" s="148"/>
      <c r="C69" s="148"/>
      <c r="D69" s="148"/>
      <c r="E69" s="148"/>
      <c r="F69" s="157"/>
      <c r="G69" s="148"/>
      <c r="H69" s="148"/>
      <c r="I69" s="148"/>
      <c r="J69" s="148"/>
      <c r="K69" s="148"/>
      <c r="L69" s="148"/>
    </row>
    <row r="70" spans="1:12">
      <c r="A70" s="148"/>
      <c r="B70" s="148"/>
      <c r="C70" s="148"/>
      <c r="D70" s="148"/>
      <c r="E70" s="148"/>
      <c r="F70" s="158"/>
      <c r="G70" s="148"/>
      <c r="H70" s="148"/>
      <c r="I70" s="148"/>
      <c r="J70" s="148"/>
      <c r="K70" s="148"/>
      <c r="L70" s="148"/>
    </row>
    <row r="71" spans="1:12" ht="15.75">
      <c r="A71" s="148"/>
      <c r="B71" s="148"/>
      <c r="C71" s="148"/>
      <c r="D71" s="148"/>
      <c r="E71" s="148"/>
      <c r="F71" s="155"/>
      <c r="G71" s="148"/>
      <c r="H71" s="148"/>
      <c r="I71" s="148"/>
      <c r="J71" s="148"/>
      <c r="K71" s="148"/>
      <c r="L71" s="148"/>
    </row>
    <row r="72" spans="1:12" ht="15.75">
      <c r="F72" s="133"/>
    </row>
    <row r="73" spans="1:12">
      <c r="F73" s="134"/>
    </row>
    <row r="74" spans="1:12" ht="15.75">
      <c r="F74" s="135"/>
    </row>
    <row r="75" spans="1:12" ht="15.75">
      <c r="F75" s="135"/>
    </row>
    <row r="76" spans="1:12" ht="15.75">
      <c r="F76" s="133"/>
    </row>
    <row r="77" spans="1:12" ht="15.75">
      <c r="F77" s="133"/>
    </row>
    <row r="78" spans="1:12">
      <c r="F78" s="136"/>
    </row>
    <row r="79" spans="1:12">
      <c r="F79" s="137"/>
    </row>
    <row r="80" spans="1:12">
      <c r="F80" s="137"/>
    </row>
    <row r="81" spans="6:6" ht="15.75">
      <c r="F81" s="135"/>
    </row>
    <row r="82" spans="6:6" ht="15.75">
      <c r="F82" s="133"/>
    </row>
    <row r="83" spans="6:6" ht="15.75">
      <c r="F83" s="133"/>
    </row>
    <row r="84" spans="6:6" ht="15.75">
      <c r="F84" s="135"/>
    </row>
    <row r="85" spans="6:6" ht="15.75">
      <c r="F85" s="135"/>
    </row>
    <row r="86" spans="6:6" ht="15.75">
      <c r="F86" s="135"/>
    </row>
    <row r="87" spans="6:6" ht="15.75">
      <c r="F87" s="135"/>
    </row>
  </sheetData>
  <mergeCells count="11">
    <mergeCell ref="A5:F5"/>
    <mergeCell ref="A7:L7"/>
    <mergeCell ref="A13:L13"/>
    <mergeCell ref="A47:L47"/>
    <mergeCell ref="A57:L57"/>
    <mergeCell ref="A63:L63"/>
    <mergeCell ref="A68:L68"/>
    <mergeCell ref="A19:L19"/>
    <mergeCell ref="A25:L25"/>
    <mergeCell ref="A41:L41"/>
    <mergeCell ref="A31:L31"/>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F39"/>
  <sheetViews>
    <sheetView showGridLines="0" showZeros="0" workbookViewId="0">
      <selection activeCell="B18" sqref="B18:C18"/>
    </sheetView>
  </sheetViews>
  <sheetFormatPr defaultColWidth="11.42578125" defaultRowHeight="12.75"/>
  <cols>
    <col min="1" max="1" width="29.85546875" style="43" customWidth="1"/>
    <col min="2" max="2" width="55.5703125" style="43" customWidth="1"/>
    <col min="3" max="3" width="18.140625" style="43" customWidth="1"/>
    <col min="4" max="4" width="16.28515625" style="43" customWidth="1"/>
    <col min="5" max="16384" width="11.42578125" style="43"/>
  </cols>
  <sheetData>
    <row r="1" spans="1:6" ht="15.75">
      <c r="A1" s="213" t="s">
        <v>56</v>
      </c>
      <c r="B1" s="41" t="s">
        <v>42</v>
      </c>
      <c r="C1" s="42" t="s">
        <v>28</v>
      </c>
    </row>
    <row r="2" spans="1:6" ht="16.5" thickBot="1">
      <c r="A2" s="214"/>
      <c r="B2" s="44" t="s">
        <v>43</v>
      </c>
      <c r="C2" s="59" t="s">
        <v>76</v>
      </c>
    </row>
    <row r="3" spans="1:6" ht="24.75" customHeight="1" thickBot="1">
      <c r="A3" s="45" t="s">
        <v>29</v>
      </c>
      <c r="B3" s="215"/>
      <c r="C3" s="216"/>
    </row>
    <row r="4" spans="1:6">
      <c r="A4" s="46" t="s">
        <v>30</v>
      </c>
      <c r="B4" s="47"/>
      <c r="C4" s="48"/>
    </row>
    <row r="5" spans="1:6">
      <c r="A5" s="49"/>
      <c r="B5" s="47"/>
      <c r="C5" s="50"/>
    </row>
    <row r="6" spans="1:6">
      <c r="A6" s="49"/>
      <c r="B6" s="47"/>
      <c r="C6" s="50"/>
    </row>
    <row r="7" spans="1:6">
      <c r="A7" s="49"/>
      <c r="B7" s="47"/>
      <c r="C7" s="50"/>
    </row>
    <row r="8" spans="1:6">
      <c r="A8" s="49"/>
      <c r="B8" s="47"/>
      <c r="C8" s="50"/>
    </row>
    <row r="9" spans="1:6">
      <c r="A9" s="49"/>
      <c r="B9" s="47"/>
      <c r="C9" s="50"/>
    </row>
    <row r="10" spans="1:6">
      <c r="A10" s="49"/>
      <c r="B10" s="47"/>
      <c r="C10" s="50"/>
    </row>
    <row r="11" spans="1:6">
      <c r="A11" s="49"/>
      <c r="B11" s="47"/>
      <c r="C11" s="50"/>
    </row>
    <row r="12" spans="1:6">
      <c r="A12" s="49"/>
      <c r="B12" s="47"/>
      <c r="C12" s="50"/>
    </row>
    <row r="13" spans="1:6">
      <c r="A13" s="49"/>
      <c r="B13" s="47"/>
      <c r="C13" s="50"/>
    </row>
    <row r="14" spans="1:6" ht="13.5" thickBot="1">
      <c r="A14" s="51"/>
      <c r="B14" s="47"/>
      <c r="C14" s="52"/>
    </row>
    <row r="15" spans="1:6" ht="39.75" customHeight="1" thickBot="1">
      <c r="A15" s="53" t="s">
        <v>31</v>
      </c>
      <c r="B15" s="217"/>
      <c r="C15" s="218"/>
    </row>
    <row r="16" spans="1:6" ht="21" customHeight="1" thickBot="1">
      <c r="A16" s="74" t="s">
        <v>32</v>
      </c>
      <c r="B16" s="219" t="s">
        <v>33</v>
      </c>
      <c r="C16" s="220"/>
      <c r="F16" s="54"/>
    </row>
    <row r="17" spans="1:3" ht="15.75">
      <c r="A17" s="73" t="s">
        <v>34</v>
      </c>
    </row>
    <row r="18" spans="1:3" ht="15">
      <c r="A18" s="55" t="s">
        <v>45</v>
      </c>
      <c r="B18" s="209"/>
      <c r="C18" s="209"/>
    </row>
    <row r="19" spans="1:3" ht="15">
      <c r="A19" s="56" t="s">
        <v>46</v>
      </c>
      <c r="B19" s="209"/>
      <c r="C19" s="209"/>
    </row>
    <row r="20" spans="1:3" ht="12.75" customHeight="1">
      <c r="A20" s="56" t="s">
        <v>47</v>
      </c>
      <c r="B20" s="209"/>
      <c r="C20" s="209"/>
    </row>
    <row r="21" spans="1:3" ht="15">
      <c r="A21" s="56" t="s">
        <v>48</v>
      </c>
      <c r="B21" s="209"/>
      <c r="C21" s="209"/>
    </row>
    <row r="22" spans="1:3" ht="15">
      <c r="A22" s="56" t="s">
        <v>49</v>
      </c>
      <c r="B22" s="209"/>
      <c r="C22" s="209"/>
    </row>
    <row r="24" spans="1:3">
      <c r="A24" s="57" t="s">
        <v>35</v>
      </c>
    </row>
    <row r="25" spans="1:3" ht="15">
      <c r="A25" s="56" t="s">
        <v>36</v>
      </c>
      <c r="B25" s="209"/>
      <c r="C25" s="209"/>
    </row>
    <row r="26" spans="1:3" ht="15">
      <c r="A26" s="56" t="s">
        <v>53</v>
      </c>
      <c r="B26" s="209"/>
      <c r="C26" s="209"/>
    </row>
    <row r="27" spans="1:3" ht="15">
      <c r="A27" s="56" t="s">
        <v>54</v>
      </c>
      <c r="B27" s="209"/>
      <c r="C27" s="209"/>
    </row>
    <row r="28" spans="1:3" ht="15">
      <c r="A28" s="56" t="s">
        <v>50</v>
      </c>
      <c r="B28" s="209"/>
      <c r="C28" s="209"/>
    </row>
    <row r="29" spans="1:3" ht="15">
      <c r="A29" s="56" t="s">
        <v>37</v>
      </c>
      <c r="B29" s="209"/>
      <c r="C29" s="209"/>
    </row>
    <row r="30" spans="1:3" ht="15">
      <c r="A30" s="56" t="s">
        <v>51</v>
      </c>
      <c r="B30" s="209"/>
      <c r="C30" s="209"/>
    </row>
    <row r="31" spans="1:3" ht="15">
      <c r="A31" s="56" t="s">
        <v>52</v>
      </c>
      <c r="B31" s="209"/>
      <c r="C31" s="209"/>
    </row>
    <row r="32" spans="1:3" ht="15">
      <c r="A32" s="56" t="s">
        <v>38</v>
      </c>
      <c r="B32" s="209"/>
      <c r="C32" s="209"/>
    </row>
    <row r="33" spans="1:3" ht="15">
      <c r="A33" s="56" t="s">
        <v>39</v>
      </c>
      <c r="B33" s="209"/>
      <c r="C33" s="209"/>
    </row>
    <row r="35" spans="1:3">
      <c r="A35" s="58" t="s">
        <v>55</v>
      </c>
    </row>
    <row r="36" spans="1:3">
      <c r="A36" s="56" t="s">
        <v>40</v>
      </c>
      <c r="B36" s="211"/>
      <c r="C36" s="212"/>
    </row>
    <row r="37" spans="1:3">
      <c r="A37" s="56" t="s">
        <v>41</v>
      </c>
      <c r="B37" s="211"/>
      <c r="C37" s="212"/>
    </row>
    <row r="39" spans="1:3" ht="15" customHeight="1">
      <c r="A39" s="210" t="s">
        <v>44</v>
      </c>
      <c r="B39" s="210"/>
      <c r="C39" s="210"/>
    </row>
  </sheetData>
  <mergeCells count="21">
    <mergeCell ref="B18:C18"/>
    <mergeCell ref="B19:C19"/>
    <mergeCell ref="B20:C20"/>
    <mergeCell ref="A1:A2"/>
    <mergeCell ref="B3:C3"/>
    <mergeCell ref="B15:C15"/>
    <mergeCell ref="B16:C16"/>
    <mergeCell ref="B21:C21"/>
    <mergeCell ref="B25:C25"/>
    <mergeCell ref="B28:C28"/>
    <mergeCell ref="B29:C29"/>
    <mergeCell ref="B22:C22"/>
    <mergeCell ref="B26:C26"/>
    <mergeCell ref="B27:C27"/>
    <mergeCell ref="B33:C33"/>
    <mergeCell ref="A39:C39"/>
    <mergeCell ref="B30:C30"/>
    <mergeCell ref="B32:C32"/>
    <mergeCell ref="B31:C31"/>
    <mergeCell ref="B36:C36"/>
    <mergeCell ref="B37:C37"/>
  </mergeCells>
  <phoneticPr fontId="7" type="noConversion"/>
  <hyperlinks>
    <hyperlink ref="A1:A2" r:id="rId1" display="GDI 968-04STD 5034.2"/>
  </hyperlinks>
  <pageMargins left="0.75" right="0.75" top="1" bottom="1" header="0.5" footer="0.5"/>
  <pageSetup paperSize="9" orientation="portrait"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6145" r:id="rId5" name="Check Box 1">
              <controlPr defaultSize="0" autoFill="0" autoLine="0" autoPict="0">
                <anchor moveWithCells="1">
                  <from>
                    <xdr:col>0</xdr:col>
                    <xdr:colOff>0</xdr:colOff>
                    <xdr:row>4</xdr:row>
                    <xdr:rowOff>28575</xdr:rowOff>
                  </from>
                  <to>
                    <xdr:col>1</xdr:col>
                    <xdr:colOff>866775</xdr:colOff>
                    <xdr:row>5</xdr:row>
                    <xdr:rowOff>85725</xdr:rowOff>
                  </to>
                </anchor>
              </controlPr>
            </control>
          </mc:Choice>
        </mc:AlternateContent>
        <mc:AlternateContent xmlns:mc="http://schemas.openxmlformats.org/markup-compatibility/2006">
          <mc:Choice Requires="x14">
            <control shapeId="6146" r:id="rId6" name="Check Box 2">
              <controlPr defaultSize="0" autoFill="0" autoLine="0" autoPict="0">
                <anchor moveWithCells="1">
                  <from>
                    <xdr:col>0</xdr:col>
                    <xdr:colOff>0</xdr:colOff>
                    <xdr:row>5</xdr:row>
                    <xdr:rowOff>47625</xdr:rowOff>
                  </from>
                  <to>
                    <xdr:col>2</xdr:col>
                    <xdr:colOff>428625</xdr:colOff>
                    <xdr:row>6</xdr:row>
                    <xdr:rowOff>104775</xdr:rowOff>
                  </to>
                </anchor>
              </controlPr>
            </control>
          </mc:Choice>
        </mc:AlternateContent>
        <mc:AlternateContent xmlns:mc="http://schemas.openxmlformats.org/markup-compatibility/2006">
          <mc:Choice Requires="x14">
            <control shapeId="6147" r:id="rId7" name="Check Box 3">
              <controlPr defaultSize="0" autoFill="0" autoLine="0" autoPict="0">
                <anchor moveWithCells="1">
                  <from>
                    <xdr:col>0</xdr:col>
                    <xdr:colOff>0</xdr:colOff>
                    <xdr:row>6</xdr:row>
                    <xdr:rowOff>57150</xdr:rowOff>
                  </from>
                  <to>
                    <xdr:col>1</xdr:col>
                    <xdr:colOff>2676525</xdr:colOff>
                    <xdr:row>7</xdr:row>
                    <xdr:rowOff>114300</xdr:rowOff>
                  </to>
                </anchor>
              </controlPr>
            </control>
          </mc:Choice>
        </mc:AlternateContent>
        <mc:AlternateContent xmlns:mc="http://schemas.openxmlformats.org/markup-compatibility/2006">
          <mc:Choice Requires="x14">
            <control shapeId="6148" r:id="rId8" name="Check Box 4">
              <controlPr defaultSize="0" autoFill="0" autoLine="0" autoPict="0">
                <anchor moveWithCells="1">
                  <from>
                    <xdr:col>0</xdr:col>
                    <xdr:colOff>0</xdr:colOff>
                    <xdr:row>7</xdr:row>
                    <xdr:rowOff>66675</xdr:rowOff>
                  </from>
                  <to>
                    <xdr:col>1</xdr:col>
                    <xdr:colOff>2486025</xdr:colOff>
                    <xdr:row>8</xdr:row>
                    <xdr:rowOff>123825</xdr:rowOff>
                  </to>
                </anchor>
              </controlPr>
            </control>
          </mc:Choice>
        </mc:AlternateContent>
        <mc:AlternateContent xmlns:mc="http://schemas.openxmlformats.org/markup-compatibility/2006">
          <mc:Choice Requires="x14">
            <control shapeId="6149" r:id="rId9" name="Check Box 5">
              <controlPr defaultSize="0" autoFill="0" autoLine="0" autoPict="0">
                <anchor moveWithCells="1">
                  <from>
                    <xdr:col>0</xdr:col>
                    <xdr:colOff>0</xdr:colOff>
                    <xdr:row>9</xdr:row>
                    <xdr:rowOff>85725</xdr:rowOff>
                  </from>
                  <to>
                    <xdr:col>2</xdr:col>
                    <xdr:colOff>219075</xdr:colOff>
                    <xdr:row>10</xdr:row>
                    <xdr:rowOff>142875</xdr:rowOff>
                  </to>
                </anchor>
              </controlPr>
            </control>
          </mc:Choice>
        </mc:AlternateContent>
        <mc:AlternateContent xmlns:mc="http://schemas.openxmlformats.org/markup-compatibility/2006">
          <mc:Choice Requires="x14">
            <control shapeId="6150" r:id="rId10" name="Check Box 6">
              <controlPr defaultSize="0" autoFill="0" autoLine="0" autoPict="0">
                <anchor moveWithCells="1">
                  <from>
                    <xdr:col>0</xdr:col>
                    <xdr:colOff>0</xdr:colOff>
                    <xdr:row>10</xdr:row>
                    <xdr:rowOff>95250</xdr:rowOff>
                  </from>
                  <to>
                    <xdr:col>1</xdr:col>
                    <xdr:colOff>3695700</xdr:colOff>
                    <xdr:row>11</xdr:row>
                    <xdr:rowOff>152400</xdr:rowOff>
                  </to>
                </anchor>
              </controlPr>
            </control>
          </mc:Choice>
        </mc:AlternateContent>
        <mc:AlternateContent xmlns:mc="http://schemas.openxmlformats.org/markup-compatibility/2006">
          <mc:Choice Requires="x14">
            <control shapeId="6151" r:id="rId11" name="Check Box 7">
              <controlPr defaultSize="0" autoFill="0" autoLine="0" autoPict="0">
                <anchor moveWithCells="1">
                  <from>
                    <xdr:col>0</xdr:col>
                    <xdr:colOff>0</xdr:colOff>
                    <xdr:row>12</xdr:row>
                    <xdr:rowOff>114300</xdr:rowOff>
                  </from>
                  <to>
                    <xdr:col>2</xdr:col>
                    <xdr:colOff>0</xdr:colOff>
                    <xdr:row>14</xdr:row>
                    <xdr:rowOff>0</xdr:rowOff>
                  </to>
                </anchor>
              </controlPr>
            </control>
          </mc:Choice>
        </mc:AlternateContent>
        <mc:AlternateContent xmlns:mc="http://schemas.openxmlformats.org/markup-compatibility/2006">
          <mc:Choice Requires="x14">
            <control shapeId="6152" r:id="rId12" name="Check Box 8">
              <controlPr defaultSize="0" autoFill="0" autoLine="0" autoPict="0">
                <anchor moveWithCells="1">
                  <from>
                    <xdr:col>0</xdr:col>
                    <xdr:colOff>0</xdr:colOff>
                    <xdr:row>11</xdr:row>
                    <xdr:rowOff>104775</xdr:rowOff>
                  </from>
                  <to>
                    <xdr:col>1</xdr:col>
                    <xdr:colOff>2438400</xdr:colOff>
                    <xdr:row>13</xdr:row>
                    <xdr:rowOff>0</xdr:rowOff>
                  </to>
                </anchor>
              </controlPr>
            </control>
          </mc:Choice>
        </mc:AlternateContent>
        <mc:AlternateContent xmlns:mc="http://schemas.openxmlformats.org/markup-compatibility/2006">
          <mc:Choice Requires="x14">
            <control shapeId="6154" r:id="rId13" name="Check Box 10">
              <controlPr defaultSize="0" autoFill="0" autoLine="0" autoPict="0">
                <anchor moveWithCells="1">
                  <from>
                    <xdr:col>0</xdr:col>
                    <xdr:colOff>0</xdr:colOff>
                    <xdr:row>8</xdr:row>
                    <xdr:rowOff>76200</xdr:rowOff>
                  </from>
                  <to>
                    <xdr:col>2</xdr:col>
                    <xdr:colOff>495300</xdr:colOff>
                    <xdr:row>9</xdr:row>
                    <xdr:rowOff>133350</xdr:rowOff>
                  </to>
                </anchor>
              </controlPr>
            </control>
          </mc:Choice>
        </mc:AlternateContent>
        <mc:AlternateContent xmlns:mc="http://schemas.openxmlformats.org/markup-compatibility/2006">
          <mc:Choice Requires="x14">
            <control shapeId="6199" r:id="rId14" name="Check Box 55">
              <controlPr defaultSize="0" autoFill="0" autoLine="0" autoPict="0">
                <anchor moveWithCells="1">
                  <from>
                    <xdr:col>1</xdr:col>
                    <xdr:colOff>0</xdr:colOff>
                    <xdr:row>16</xdr:row>
                    <xdr:rowOff>0</xdr:rowOff>
                  </from>
                  <to>
                    <xdr:col>1</xdr:col>
                    <xdr:colOff>923925</xdr:colOff>
                    <xdr:row>17</xdr:row>
                    <xdr:rowOff>19050</xdr:rowOff>
                  </to>
                </anchor>
              </controlPr>
            </control>
          </mc:Choice>
        </mc:AlternateContent>
        <mc:AlternateContent xmlns:mc="http://schemas.openxmlformats.org/markup-compatibility/2006">
          <mc:Choice Requires="x14">
            <control shapeId="6200" r:id="rId15" name="Check Box 56">
              <controlPr defaultSize="0" autoFill="0" autoLine="0" autoPict="0">
                <anchor moveWithCells="1">
                  <from>
                    <xdr:col>1</xdr:col>
                    <xdr:colOff>1000125</xdr:colOff>
                    <xdr:row>16</xdr:row>
                    <xdr:rowOff>0</xdr:rowOff>
                  </from>
                  <to>
                    <xdr:col>1</xdr:col>
                    <xdr:colOff>1924050</xdr:colOff>
                    <xdr:row>17</xdr:row>
                    <xdr:rowOff>19050</xdr:rowOff>
                  </to>
                </anchor>
              </controlPr>
            </control>
          </mc:Choice>
        </mc:AlternateContent>
        <mc:AlternateContent xmlns:mc="http://schemas.openxmlformats.org/markup-compatibility/2006">
          <mc:Choice Requires="x14">
            <control shapeId="6201" r:id="rId16" name="Check Box 57">
              <controlPr defaultSize="0" autoFill="0" autoLine="0" autoPict="0">
                <anchor moveWithCells="1">
                  <from>
                    <xdr:col>1</xdr:col>
                    <xdr:colOff>2000250</xdr:colOff>
                    <xdr:row>16</xdr:row>
                    <xdr:rowOff>0</xdr:rowOff>
                  </from>
                  <to>
                    <xdr:col>1</xdr:col>
                    <xdr:colOff>2924175</xdr:colOff>
                    <xdr:row>17</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M96"/>
  <sheetViews>
    <sheetView topLeftCell="A37" zoomScale="85" zoomScaleNormal="85" workbookViewId="0">
      <selection activeCell="D94" sqref="D94"/>
    </sheetView>
  </sheetViews>
  <sheetFormatPr defaultRowHeight="12.75"/>
  <cols>
    <col min="1" max="1" width="9.140625" style="160"/>
    <col min="2" max="2" width="13.42578125" style="160" customWidth="1"/>
    <col min="3" max="3" width="17.28515625" style="160" customWidth="1"/>
    <col min="4" max="4" width="15.42578125" style="160" customWidth="1"/>
    <col min="5" max="5" width="14.5703125" style="160" customWidth="1"/>
    <col min="6" max="6" width="19" style="160" customWidth="1"/>
    <col min="7" max="7" width="9.140625" style="160"/>
    <col min="8" max="8" width="13.140625" style="160" customWidth="1"/>
    <col min="9" max="9" width="13.28515625" style="160" customWidth="1"/>
    <col min="10" max="10" width="17.5703125" style="160" customWidth="1"/>
    <col min="11" max="11" width="13.7109375" style="160" customWidth="1"/>
    <col min="12" max="12" width="13.5703125" style="160" customWidth="1"/>
    <col min="13" max="13" width="23.140625" style="160" customWidth="1"/>
    <col min="14" max="16384" width="9.140625" style="160"/>
  </cols>
  <sheetData>
    <row r="3" spans="1:13" ht="62.25">
      <c r="A3" s="230">
        <v>1</v>
      </c>
      <c r="B3" s="239" t="s">
        <v>245</v>
      </c>
      <c r="C3" s="159" t="s">
        <v>246</v>
      </c>
      <c r="D3" s="233" t="s">
        <v>247</v>
      </c>
      <c r="E3" s="159" t="s">
        <v>248</v>
      </c>
      <c r="F3" s="159" t="s">
        <v>249</v>
      </c>
      <c r="H3" s="230">
        <v>2</v>
      </c>
      <c r="I3" s="231" t="s">
        <v>250</v>
      </c>
      <c r="J3" s="161" t="s">
        <v>196</v>
      </c>
      <c r="K3" s="232" t="s">
        <v>251</v>
      </c>
      <c r="L3" s="232" t="s">
        <v>251</v>
      </c>
      <c r="M3" s="232" t="s">
        <v>252</v>
      </c>
    </row>
    <row r="4" spans="1:13" ht="49.5">
      <c r="A4" s="230">
        <f>A3+1</f>
        <v>2</v>
      </c>
      <c r="B4" s="240"/>
      <c r="C4" s="162" t="s">
        <v>253</v>
      </c>
      <c r="D4" s="233"/>
      <c r="E4" s="162" t="s">
        <v>254</v>
      </c>
      <c r="F4" s="162" t="s">
        <v>255</v>
      </c>
      <c r="H4" s="230"/>
      <c r="I4" s="231"/>
      <c r="J4" s="162" t="s">
        <v>256</v>
      </c>
      <c r="K4" s="232"/>
      <c r="L4" s="232"/>
      <c r="M4" s="232"/>
    </row>
    <row r="5" spans="1:13" ht="49.5">
      <c r="A5" s="230">
        <f>A4+1</f>
        <v>3</v>
      </c>
      <c r="B5" s="241"/>
      <c r="C5" s="159" t="s">
        <v>257</v>
      </c>
      <c r="D5" s="233"/>
      <c r="E5" s="162" t="s">
        <v>254</v>
      </c>
      <c r="F5" s="162" t="s">
        <v>258</v>
      </c>
      <c r="H5" s="230" t="e">
        <f>#N/A</f>
        <v>#N/A</v>
      </c>
      <c r="I5" s="231"/>
      <c r="J5" s="162" t="s">
        <v>197</v>
      </c>
      <c r="K5" s="232"/>
      <c r="L5" s="232"/>
      <c r="M5" s="232"/>
    </row>
    <row r="6" spans="1:13">
      <c r="A6" s="163"/>
      <c r="B6" s="164"/>
      <c r="C6" s="159"/>
      <c r="D6" s="159"/>
      <c r="E6" s="162"/>
      <c r="F6" s="162"/>
    </row>
    <row r="7" spans="1:13" ht="38.25">
      <c r="A7" s="230">
        <v>5</v>
      </c>
      <c r="B7" s="231" t="s">
        <v>259</v>
      </c>
      <c r="C7" s="162" t="s">
        <v>260</v>
      </c>
      <c r="D7" s="232" t="s">
        <v>261</v>
      </c>
      <c r="E7" s="162" t="s">
        <v>262</v>
      </c>
      <c r="F7" s="232" t="s">
        <v>263</v>
      </c>
      <c r="H7" s="230">
        <v>5</v>
      </c>
      <c r="I7" s="231" t="s">
        <v>264</v>
      </c>
      <c r="J7" s="162" t="s">
        <v>260</v>
      </c>
      <c r="K7" s="232" t="s">
        <v>261</v>
      </c>
      <c r="L7" s="162" t="s">
        <v>262</v>
      </c>
      <c r="M7" s="232" t="s">
        <v>263</v>
      </c>
    </row>
    <row r="8" spans="1:13" ht="36.75">
      <c r="A8" s="230">
        <f>A7+1</f>
        <v>6</v>
      </c>
      <c r="B8" s="231"/>
      <c r="C8" s="159" t="s">
        <v>265</v>
      </c>
      <c r="D8" s="232"/>
      <c r="E8" s="159" t="s">
        <v>266</v>
      </c>
      <c r="F8" s="232"/>
      <c r="H8" s="230">
        <f>H7+1</f>
        <v>6</v>
      </c>
      <c r="I8" s="231"/>
      <c r="J8" s="159" t="s">
        <v>265</v>
      </c>
      <c r="K8" s="232"/>
      <c r="L8" s="159" t="s">
        <v>266</v>
      </c>
      <c r="M8" s="232"/>
    </row>
    <row r="9" spans="1:13" ht="38.25">
      <c r="A9" s="230">
        <f>A8+1</f>
        <v>7</v>
      </c>
      <c r="B9" s="231"/>
      <c r="C9" s="162" t="s">
        <v>267</v>
      </c>
      <c r="D9" s="232"/>
      <c r="E9" s="162" t="s">
        <v>262</v>
      </c>
      <c r="F9" s="232"/>
      <c r="H9" s="230">
        <f>H8+1</f>
        <v>7</v>
      </c>
      <c r="I9" s="231"/>
      <c r="J9" s="162" t="s">
        <v>267</v>
      </c>
      <c r="K9" s="232"/>
      <c r="L9" s="162" t="s">
        <v>262</v>
      </c>
      <c r="M9" s="232"/>
    </row>
    <row r="10" spans="1:13" ht="36.75">
      <c r="A10" s="230"/>
      <c r="B10" s="231"/>
      <c r="C10" s="162" t="s">
        <v>268</v>
      </c>
      <c r="D10" s="232"/>
      <c r="E10" s="159" t="s">
        <v>266</v>
      </c>
      <c r="F10" s="232"/>
      <c r="H10" s="230"/>
      <c r="I10" s="231"/>
      <c r="J10" s="162" t="s">
        <v>268</v>
      </c>
      <c r="K10" s="232"/>
      <c r="L10" s="159" t="s">
        <v>266</v>
      </c>
      <c r="M10" s="232"/>
    </row>
    <row r="11" spans="1:13" ht="60.75">
      <c r="A11" s="230" t="e">
        <f>NA()</f>
        <v>#N/A</v>
      </c>
      <c r="B11" s="231"/>
      <c r="C11" s="162" t="s">
        <v>269</v>
      </c>
      <c r="D11" s="232"/>
      <c r="E11" s="162" t="s">
        <v>254</v>
      </c>
      <c r="F11" s="232"/>
      <c r="H11" s="230" t="e">
        <f>NA()</f>
        <v>#N/A</v>
      </c>
      <c r="I11" s="231"/>
      <c r="J11" s="162" t="s">
        <v>269</v>
      </c>
      <c r="K11" s="232"/>
      <c r="L11" s="162" t="s">
        <v>254</v>
      </c>
      <c r="M11" s="232"/>
    </row>
    <row r="13" spans="1:13" ht="38.25">
      <c r="A13" s="230">
        <v>5</v>
      </c>
      <c r="B13" s="231" t="s">
        <v>270</v>
      </c>
      <c r="C13" s="162" t="s">
        <v>260</v>
      </c>
      <c r="D13" s="232" t="s">
        <v>261</v>
      </c>
      <c r="E13" s="162" t="s">
        <v>262</v>
      </c>
      <c r="F13" s="232" t="s">
        <v>263</v>
      </c>
      <c r="H13" s="230">
        <v>5</v>
      </c>
      <c r="I13" s="231" t="s">
        <v>271</v>
      </c>
      <c r="J13" s="162" t="s">
        <v>260</v>
      </c>
      <c r="K13" s="232" t="s">
        <v>261</v>
      </c>
      <c r="L13" s="162" t="s">
        <v>262</v>
      </c>
      <c r="M13" s="232" t="s">
        <v>263</v>
      </c>
    </row>
    <row r="14" spans="1:13" ht="36.75">
      <c r="A14" s="230">
        <f>A13+1</f>
        <v>6</v>
      </c>
      <c r="B14" s="231"/>
      <c r="C14" s="159" t="s">
        <v>265</v>
      </c>
      <c r="D14" s="232"/>
      <c r="E14" s="159" t="s">
        <v>266</v>
      </c>
      <c r="F14" s="232"/>
      <c r="H14" s="230">
        <f>H13+1</f>
        <v>6</v>
      </c>
      <c r="I14" s="231"/>
      <c r="J14" s="159" t="s">
        <v>265</v>
      </c>
      <c r="K14" s="232"/>
      <c r="L14" s="159" t="s">
        <v>266</v>
      </c>
      <c r="M14" s="232"/>
    </row>
    <row r="15" spans="1:13" ht="38.25">
      <c r="A15" s="230">
        <f>A14+1</f>
        <v>7</v>
      </c>
      <c r="B15" s="231"/>
      <c r="C15" s="162" t="s">
        <v>267</v>
      </c>
      <c r="D15" s="232"/>
      <c r="E15" s="162" t="s">
        <v>262</v>
      </c>
      <c r="F15" s="232"/>
      <c r="H15" s="230">
        <f>H14+1</f>
        <v>7</v>
      </c>
      <c r="I15" s="231"/>
      <c r="J15" s="162" t="s">
        <v>267</v>
      </c>
      <c r="K15" s="232"/>
      <c r="L15" s="162" t="s">
        <v>262</v>
      </c>
      <c r="M15" s="232"/>
    </row>
    <row r="16" spans="1:13" ht="36.75">
      <c r="A16" s="230"/>
      <c r="B16" s="231"/>
      <c r="C16" s="162" t="s">
        <v>268</v>
      </c>
      <c r="D16" s="232"/>
      <c r="E16" s="159" t="s">
        <v>266</v>
      </c>
      <c r="F16" s="232"/>
      <c r="H16" s="230"/>
      <c r="I16" s="231"/>
      <c r="J16" s="162" t="s">
        <v>268</v>
      </c>
      <c r="K16" s="232"/>
      <c r="L16" s="159" t="s">
        <v>266</v>
      </c>
      <c r="M16" s="232"/>
    </row>
    <row r="17" spans="1:13" ht="60.75">
      <c r="A17" s="230" t="e">
        <f>NA()</f>
        <v>#N/A</v>
      </c>
      <c r="B17" s="231"/>
      <c r="C17" s="162" t="s">
        <v>269</v>
      </c>
      <c r="D17" s="232"/>
      <c r="E17" s="162" t="s">
        <v>254</v>
      </c>
      <c r="F17" s="232"/>
      <c r="H17" s="230" t="e">
        <f>NA()</f>
        <v>#N/A</v>
      </c>
      <c r="I17" s="231"/>
      <c r="J17" s="162" t="s">
        <v>269</v>
      </c>
      <c r="K17" s="232"/>
      <c r="L17" s="162" t="s">
        <v>254</v>
      </c>
      <c r="M17" s="232"/>
    </row>
    <row r="21" spans="1:13" ht="48" customHeight="1">
      <c r="A21" s="230">
        <v>6</v>
      </c>
      <c r="B21" s="231" t="s">
        <v>272</v>
      </c>
      <c r="C21" s="162" t="s">
        <v>267</v>
      </c>
      <c r="D21" s="233" t="s">
        <v>273</v>
      </c>
      <c r="E21" s="162" t="s">
        <v>274</v>
      </c>
      <c r="F21" s="232" t="s">
        <v>275</v>
      </c>
      <c r="H21" s="230">
        <v>7</v>
      </c>
      <c r="I21" s="231" t="s">
        <v>272</v>
      </c>
      <c r="J21" s="162" t="s">
        <v>267</v>
      </c>
      <c r="K21" s="233" t="s">
        <v>273</v>
      </c>
      <c r="L21" s="162" t="s">
        <v>274</v>
      </c>
      <c r="M21" s="232" t="s">
        <v>275</v>
      </c>
    </row>
    <row r="22" spans="1:13" ht="39.75" customHeight="1">
      <c r="A22" s="230">
        <f>A21+1</f>
        <v>7</v>
      </c>
      <c r="B22" s="231"/>
      <c r="C22" s="162" t="s">
        <v>276</v>
      </c>
      <c r="D22" s="233"/>
      <c r="E22" s="159" t="s">
        <v>266</v>
      </c>
      <c r="F22" s="232"/>
      <c r="H22" s="230">
        <f>H21+1</f>
        <v>8</v>
      </c>
      <c r="I22" s="231"/>
      <c r="J22" s="162" t="s">
        <v>276</v>
      </c>
      <c r="K22" s="233"/>
      <c r="L22" s="159" t="s">
        <v>266</v>
      </c>
      <c r="M22" s="232"/>
    </row>
    <row r="23" spans="1:13" ht="93" customHeight="1">
      <c r="A23" s="230">
        <v>5</v>
      </c>
      <c r="B23" s="231"/>
      <c r="C23" s="159" t="s">
        <v>277</v>
      </c>
      <c r="D23" s="233"/>
      <c r="E23" s="162" t="s">
        <v>254</v>
      </c>
      <c r="F23" s="232"/>
      <c r="H23" s="230">
        <v>5</v>
      </c>
      <c r="I23" s="231"/>
      <c r="J23" s="159" t="s">
        <v>277</v>
      </c>
      <c r="K23" s="233"/>
      <c r="L23" s="162" t="s">
        <v>254</v>
      </c>
      <c r="M23" s="232"/>
    </row>
    <row r="25" spans="1:13" ht="38.25">
      <c r="A25" s="230">
        <v>8</v>
      </c>
      <c r="B25" s="231" t="s">
        <v>272</v>
      </c>
      <c r="C25" s="162" t="s">
        <v>267</v>
      </c>
      <c r="D25" s="233" t="s">
        <v>273</v>
      </c>
      <c r="E25" s="162" t="s">
        <v>274</v>
      </c>
      <c r="F25" s="232" t="s">
        <v>275</v>
      </c>
    </row>
    <row r="26" spans="1:13" ht="38.25">
      <c r="A26" s="230">
        <f>A25+1</f>
        <v>9</v>
      </c>
      <c r="B26" s="231"/>
      <c r="C26" s="162" t="s">
        <v>276</v>
      </c>
      <c r="D26" s="233"/>
      <c r="E26" s="159" t="s">
        <v>266</v>
      </c>
      <c r="F26" s="232"/>
    </row>
    <row r="27" spans="1:13" ht="93.75" customHeight="1">
      <c r="A27" s="230">
        <v>5</v>
      </c>
      <c r="B27" s="231"/>
      <c r="C27" s="159" t="s">
        <v>277</v>
      </c>
      <c r="D27" s="233"/>
      <c r="E27" s="162" t="s">
        <v>254</v>
      </c>
      <c r="F27" s="232"/>
    </row>
    <row r="29" spans="1:13" ht="38.25">
      <c r="A29" s="230">
        <v>10</v>
      </c>
      <c r="B29" s="233" t="s">
        <v>278</v>
      </c>
      <c r="C29" s="162" t="s">
        <v>267</v>
      </c>
      <c r="D29" s="233" t="s">
        <v>273</v>
      </c>
      <c r="E29" s="162" t="s">
        <v>262</v>
      </c>
      <c r="F29" s="232" t="s">
        <v>279</v>
      </c>
      <c r="H29" s="230">
        <v>10</v>
      </c>
      <c r="I29" s="233" t="s">
        <v>280</v>
      </c>
      <c r="J29" s="162" t="s">
        <v>267</v>
      </c>
      <c r="K29" s="233" t="s">
        <v>273</v>
      </c>
      <c r="L29" s="162" t="s">
        <v>262</v>
      </c>
      <c r="M29" s="232" t="s">
        <v>279</v>
      </c>
    </row>
    <row r="30" spans="1:13" ht="54" customHeight="1">
      <c r="A30" s="230">
        <f>A29+1</f>
        <v>11</v>
      </c>
      <c r="B30" s="233"/>
      <c r="C30" s="162" t="s">
        <v>276</v>
      </c>
      <c r="D30" s="233"/>
      <c r="E30" s="159" t="s">
        <v>266</v>
      </c>
      <c r="F30" s="232"/>
      <c r="H30" s="230">
        <f>H29+1</f>
        <v>11</v>
      </c>
      <c r="I30" s="233"/>
      <c r="J30" s="162" t="s">
        <v>276</v>
      </c>
      <c r="K30" s="233"/>
      <c r="L30" s="159" t="s">
        <v>266</v>
      </c>
      <c r="M30" s="232"/>
    </row>
    <row r="31" spans="1:13" ht="66" customHeight="1">
      <c r="A31" s="230">
        <v>5</v>
      </c>
      <c r="B31" s="233"/>
      <c r="C31" s="159" t="s">
        <v>277</v>
      </c>
      <c r="D31" s="233"/>
      <c r="E31" s="162" t="s">
        <v>254</v>
      </c>
      <c r="F31" s="232"/>
      <c r="H31" s="230">
        <v>5</v>
      </c>
      <c r="I31" s="233"/>
      <c r="J31" s="159" t="s">
        <v>277</v>
      </c>
      <c r="K31" s="233"/>
      <c r="L31" s="162" t="s">
        <v>254</v>
      </c>
      <c r="M31" s="232"/>
    </row>
    <row r="33" spans="1:6" ht="38.25" customHeight="1">
      <c r="A33" s="230">
        <v>10</v>
      </c>
      <c r="B33" s="231" t="s">
        <v>250</v>
      </c>
      <c r="C33" s="161" t="s">
        <v>196</v>
      </c>
      <c r="D33" s="232" t="s">
        <v>251</v>
      </c>
      <c r="E33" s="232" t="s">
        <v>251</v>
      </c>
      <c r="F33" s="232" t="s">
        <v>252</v>
      </c>
    </row>
    <row r="34" spans="1:6" ht="53.25" customHeight="1">
      <c r="A34" s="230"/>
      <c r="B34" s="231"/>
      <c r="C34" s="162" t="s">
        <v>256</v>
      </c>
      <c r="D34" s="232"/>
      <c r="E34" s="232"/>
      <c r="F34" s="232"/>
    </row>
    <row r="35" spans="1:6" ht="44.25" customHeight="1">
      <c r="A35" s="230" t="e">
        <f>#N/A</f>
        <v>#N/A</v>
      </c>
      <c r="B35" s="231"/>
      <c r="C35" s="162" t="s">
        <v>197</v>
      </c>
      <c r="D35" s="232"/>
      <c r="E35" s="232"/>
      <c r="F35" s="232"/>
    </row>
    <row r="37" spans="1:6" ht="38.25">
      <c r="A37" s="230">
        <v>10</v>
      </c>
      <c r="B37" s="231" t="s">
        <v>281</v>
      </c>
      <c r="C37" s="162" t="s">
        <v>267</v>
      </c>
      <c r="D37" s="233" t="s">
        <v>273</v>
      </c>
      <c r="E37" s="162" t="s">
        <v>282</v>
      </c>
      <c r="F37" s="232" t="s">
        <v>275</v>
      </c>
    </row>
    <row r="38" spans="1:6" ht="38.25">
      <c r="A38" s="230">
        <f>A37+1</f>
        <v>11</v>
      </c>
      <c r="B38" s="231"/>
      <c r="C38" s="162" t="s">
        <v>276</v>
      </c>
      <c r="D38" s="233"/>
      <c r="E38" s="159" t="s">
        <v>266</v>
      </c>
      <c r="F38" s="232"/>
    </row>
    <row r="39" spans="1:6" ht="68.25" customHeight="1">
      <c r="A39" s="230">
        <v>5</v>
      </c>
      <c r="B39" s="231"/>
      <c r="C39" s="159" t="s">
        <v>277</v>
      </c>
      <c r="D39" s="233"/>
      <c r="E39" s="162" t="s">
        <v>254</v>
      </c>
      <c r="F39" s="232"/>
    </row>
    <row r="41" spans="1:6" ht="89.25">
      <c r="A41" s="230">
        <v>13</v>
      </c>
      <c r="B41" s="231" t="s">
        <v>283</v>
      </c>
      <c r="C41" s="162" t="s">
        <v>284</v>
      </c>
      <c r="D41" s="232" t="s">
        <v>285</v>
      </c>
      <c r="E41" s="161" t="s">
        <v>286</v>
      </c>
      <c r="F41" s="232" t="s">
        <v>275</v>
      </c>
    </row>
    <row r="42" spans="1:6" ht="60.75" customHeight="1">
      <c r="A42" s="230" t="e">
        <f>#N/A</f>
        <v>#N/A</v>
      </c>
      <c r="B42" s="231"/>
      <c r="C42" s="162" t="s">
        <v>287</v>
      </c>
      <c r="D42" s="232"/>
      <c r="E42" s="159" t="s">
        <v>266</v>
      </c>
      <c r="F42" s="232"/>
    </row>
    <row r="44" spans="1:6" ht="32.25" customHeight="1">
      <c r="A44" s="230">
        <v>15</v>
      </c>
      <c r="B44" s="231" t="s">
        <v>288</v>
      </c>
      <c r="C44" s="159" t="s">
        <v>289</v>
      </c>
      <c r="D44" s="233" t="s">
        <v>290</v>
      </c>
      <c r="E44" s="232" t="s">
        <v>291</v>
      </c>
      <c r="F44" s="232" t="s">
        <v>252</v>
      </c>
    </row>
    <row r="45" spans="1:6" ht="33" customHeight="1">
      <c r="A45" s="230"/>
      <c r="B45" s="231"/>
      <c r="C45" s="159" t="s">
        <v>292</v>
      </c>
      <c r="D45" s="233"/>
      <c r="E45" s="232"/>
      <c r="F45" s="232"/>
    </row>
    <row r="46" spans="1:6" ht="63.75" customHeight="1">
      <c r="A46" s="230"/>
      <c r="B46" s="231"/>
      <c r="C46" s="159" t="s">
        <v>196</v>
      </c>
      <c r="D46" s="233"/>
      <c r="E46" s="232"/>
      <c r="F46" s="232"/>
    </row>
    <row r="48" spans="1:6" ht="38.25" customHeight="1">
      <c r="A48" s="230">
        <v>15</v>
      </c>
      <c r="B48" s="231" t="s">
        <v>293</v>
      </c>
      <c r="C48" s="159" t="s">
        <v>289</v>
      </c>
      <c r="D48" s="233" t="s">
        <v>290</v>
      </c>
      <c r="E48" s="232" t="s">
        <v>294</v>
      </c>
      <c r="F48" s="232" t="s">
        <v>252</v>
      </c>
    </row>
    <row r="49" spans="1:6" ht="30.75" customHeight="1">
      <c r="A49" s="230"/>
      <c r="B49" s="231"/>
      <c r="C49" s="159" t="s">
        <v>295</v>
      </c>
      <c r="D49" s="233"/>
      <c r="E49" s="232"/>
      <c r="F49" s="232"/>
    </row>
    <row r="50" spans="1:6" ht="32.25" customHeight="1">
      <c r="A50" s="230"/>
      <c r="B50" s="231"/>
      <c r="C50" s="159" t="s">
        <v>196</v>
      </c>
      <c r="D50" s="233"/>
      <c r="E50" s="232"/>
      <c r="F50" s="232"/>
    </row>
    <row r="52" spans="1:6" ht="25.5">
      <c r="A52" s="230">
        <v>15</v>
      </c>
      <c r="B52" s="233" t="s">
        <v>296</v>
      </c>
      <c r="C52" s="159" t="s">
        <v>289</v>
      </c>
      <c r="D52" s="233" t="s">
        <v>290</v>
      </c>
      <c r="E52" s="232" t="s">
        <v>297</v>
      </c>
      <c r="F52" s="232" t="s">
        <v>252</v>
      </c>
    </row>
    <row r="53" spans="1:6" ht="25.5">
      <c r="A53" s="230"/>
      <c r="B53" s="233"/>
      <c r="C53" s="159" t="s">
        <v>298</v>
      </c>
      <c r="D53" s="233"/>
      <c r="E53" s="232"/>
      <c r="F53" s="232"/>
    </row>
    <row r="54" spans="1:6" ht="38.25">
      <c r="A54" s="230"/>
      <c r="B54" s="233"/>
      <c r="C54" s="159" t="s">
        <v>299</v>
      </c>
      <c r="D54" s="233"/>
      <c r="E54" s="232"/>
      <c r="F54" s="232"/>
    </row>
    <row r="55" spans="1:6" ht="25.5">
      <c r="A55" s="230"/>
      <c r="B55" s="233"/>
      <c r="C55" s="159" t="s">
        <v>300</v>
      </c>
      <c r="D55" s="233"/>
      <c r="E55" s="232"/>
      <c r="F55" s="232"/>
    </row>
    <row r="57" spans="1:6" ht="73.5">
      <c r="A57" s="230">
        <v>18</v>
      </c>
      <c r="B57" s="233" t="s">
        <v>301</v>
      </c>
      <c r="C57" s="165" t="s">
        <v>302</v>
      </c>
      <c r="D57" s="232" t="s">
        <v>303</v>
      </c>
      <c r="E57" s="162" t="s">
        <v>291</v>
      </c>
      <c r="F57" s="232" t="s">
        <v>252</v>
      </c>
    </row>
    <row r="58" spans="1:6" ht="73.5">
      <c r="A58" s="230">
        <f>A57+1</f>
        <v>19</v>
      </c>
      <c r="B58" s="233"/>
      <c r="C58" s="159" t="s">
        <v>304</v>
      </c>
      <c r="D58" s="232"/>
      <c r="E58" s="162" t="s">
        <v>291</v>
      </c>
      <c r="F58" s="232"/>
    </row>
    <row r="59" spans="1:6" ht="73.5">
      <c r="A59" s="230">
        <f>A58+1</f>
        <v>20</v>
      </c>
      <c r="B59" s="233"/>
      <c r="C59" s="162" t="s">
        <v>260</v>
      </c>
      <c r="D59" s="232"/>
      <c r="E59" s="162" t="s">
        <v>291</v>
      </c>
      <c r="F59" s="232"/>
    </row>
    <row r="61" spans="1:6" ht="36.75" customHeight="1">
      <c r="A61" s="234">
        <v>20</v>
      </c>
      <c r="B61" s="233" t="s">
        <v>305</v>
      </c>
      <c r="C61" s="161" t="s">
        <v>196</v>
      </c>
      <c r="D61" s="232" t="s">
        <v>251</v>
      </c>
      <c r="E61" s="232" t="s">
        <v>306</v>
      </c>
      <c r="F61" s="232" t="s">
        <v>252</v>
      </c>
    </row>
    <row r="62" spans="1:6" ht="30" customHeight="1">
      <c r="A62" s="235"/>
      <c r="B62" s="233"/>
      <c r="C62" s="162" t="s">
        <v>256</v>
      </c>
      <c r="D62" s="232"/>
      <c r="E62" s="232"/>
      <c r="F62" s="232"/>
    </row>
    <row r="63" spans="1:6" ht="22.5">
      <c r="A63" s="235"/>
      <c r="B63" s="233"/>
      <c r="C63" s="162" t="s">
        <v>197</v>
      </c>
      <c r="D63" s="232"/>
      <c r="E63" s="232"/>
      <c r="F63" s="232"/>
    </row>
    <row r="64" spans="1:6" ht="25.5">
      <c r="A64" s="230"/>
      <c r="B64" s="233"/>
      <c r="C64" s="162" t="s">
        <v>307</v>
      </c>
      <c r="D64" s="232"/>
      <c r="E64" s="232"/>
      <c r="F64" s="232"/>
    </row>
    <row r="66" spans="1:11" ht="19.5" customHeight="1">
      <c r="A66" s="230">
        <v>20</v>
      </c>
      <c r="B66" s="233" t="s">
        <v>308</v>
      </c>
      <c r="C66" s="161" t="s">
        <v>196</v>
      </c>
      <c r="D66" s="232" t="s">
        <v>251</v>
      </c>
      <c r="E66" s="232" t="s">
        <v>294</v>
      </c>
      <c r="F66" s="232" t="s">
        <v>252</v>
      </c>
    </row>
    <row r="67" spans="1:11" ht="35.25" customHeight="1">
      <c r="A67" s="230"/>
      <c r="B67" s="233"/>
      <c r="C67" s="162" t="s">
        <v>256</v>
      </c>
      <c r="D67" s="232"/>
      <c r="E67" s="232"/>
      <c r="F67" s="232"/>
    </row>
    <row r="68" spans="1:11" ht="35.25" customHeight="1">
      <c r="A68" s="230"/>
      <c r="B68" s="233"/>
      <c r="C68" s="162" t="s">
        <v>197</v>
      </c>
      <c r="D68" s="232"/>
      <c r="E68" s="232"/>
      <c r="F68" s="232"/>
    </row>
    <row r="70" spans="1:11" ht="36.75">
      <c r="A70" s="230">
        <v>25</v>
      </c>
      <c r="B70" s="233" t="s">
        <v>309</v>
      </c>
      <c r="C70" s="159" t="s">
        <v>310</v>
      </c>
      <c r="D70" s="232" t="s">
        <v>303</v>
      </c>
      <c r="E70" s="233" t="s">
        <v>254</v>
      </c>
      <c r="F70" s="232" t="s">
        <v>311</v>
      </c>
    </row>
    <row r="71" spans="1:11" ht="24">
      <c r="A71" s="230">
        <f t="shared" ref="A71:A72" si="0">A70+1</f>
        <v>26</v>
      </c>
      <c r="B71" s="233"/>
      <c r="C71" s="162" t="s">
        <v>312</v>
      </c>
      <c r="D71" s="232"/>
      <c r="E71" s="233"/>
      <c r="F71" s="233"/>
    </row>
    <row r="72" spans="1:11" ht="48">
      <c r="A72" s="230">
        <f t="shared" si="0"/>
        <v>27</v>
      </c>
      <c r="B72" s="233"/>
      <c r="C72" s="159" t="s">
        <v>313</v>
      </c>
      <c r="D72" s="232"/>
      <c r="E72" s="233"/>
      <c r="F72" s="232"/>
    </row>
    <row r="75" spans="1:11" ht="149.25" customHeight="1">
      <c r="A75" s="242" t="s">
        <v>204</v>
      </c>
      <c r="B75" s="244" t="s">
        <v>207</v>
      </c>
      <c r="C75" s="166" t="s">
        <v>208</v>
      </c>
      <c r="D75" s="167" t="s">
        <v>209</v>
      </c>
      <c r="E75" s="236" t="s">
        <v>210</v>
      </c>
      <c r="F75" s="168">
        <v>8</v>
      </c>
      <c r="G75" s="169" t="s">
        <v>211</v>
      </c>
      <c r="H75" s="167" t="s">
        <v>212</v>
      </c>
      <c r="I75" s="167" t="s">
        <v>213</v>
      </c>
      <c r="J75" s="168">
        <v>1</v>
      </c>
      <c r="K75" s="167" t="s">
        <v>214</v>
      </c>
    </row>
    <row r="76" spans="1:11" ht="147.75" customHeight="1">
      <c r="A76" s="243"/>
      <c r="B76" s="245"/>
      <c r="C76" s="166" t="s">
        <v>215</v>
      </c>
      <c r="D76" s="167" t="s">
        <v>216</v>
      </c>
      <c r="E76" s="246"/>
      <c r="F76" s="168">
        <v>8</v>
      </c>
      <c r="G76" s="169" t="s">
        <v>211</v>
      </c>
      <c r="H76" s="167" t="s">
        <v>217</v>
      </c>
      <c r="I76" s="167" t="s">
        <v>218</v>
      </c>
      <c r="J76" s="168">
        <v>2</v>
      </c>
      <c r="K76" s="167" t="s">
        <v>214</v>
      </c>
    </row>
    <row r="78" spans="1:11" ht="45">
      <c r="A78" s="242" t="s">
        <v>219</v>
      </c>
      <c r="B78" s="248" t="s">
        <v>220</v>
      </c>
      <c r="C78" s="170" t="s">
        <v>221</v>
      </c>
      <c r="D78" s="171" t="s">
        <v>222</v>
      </c>
      <c r="E78" s="237" t="s">
        <v>223</v>
      </c>
      <c r="F78" s="168">
        <v>9</v>
      </c>
      <c r="G78" s="169" t="s">
        <v>211</v>
      </c>
      <c r="H78" s="172" t="s">
        <v>224</v>
      </c>
      <c r="I78" s="167" t="s">
        <v>225</v>
      </c>
      <c r="J78" s="168">
        <v>2</v>
      </c>
      <c r="K78" s="167" t="s">
        <v>226</v>
      </c>
    </row>
    <row r="79" spans="1:11" ht="33.75">
      <c r="A79" s="247"/>
      <c r="B79" s="249"/>
      <c r="C79" s="170" t="s">
        <v>227</v>
      </c>
      <c r="D79" s="171" t="s">
        <v>222</v>
      </c>
      <c r="E79" s="237"/>
      <c r="F79" s="168">
        <v>6</v>
      </c>
      <c r="G79" s="169" t="s">
        <v>211</v>
      </c>
      <c r="H79" s="172" t="s">
        <v>228</v>
      </c>
      <c r="I79" s="167" t="s">
        <v>229</v>
      </c>
      <c r="J79" s="168">
        <v>1</v>
      </c>
      <c r="K79" s="167" t="s">
        <v>230</v>
      </c>
    </row>
    <row r="80" spans="1:11" ht="33.75">
      <c r="A80" s="247"/>
      <c r="B80" s="244" t="s">
        <v>231</v>
      </c>
      <c r="C80" s="166" t="s">
        <v>232</v>
      </c>
      <c r="D80" s="167" t="s">
        <v>233</v>
      </c>
      <c r="E80" s="237"/>
      <c r="F80" s="168">
        <v>8</v>
      </c>
      <c r="G80" s="169" t="s">
        <v>211</v>
      </c>
      <c r="H80" s="236" t="s">
        <v>234</v>
      </c>
      <c r="I80" s="167" t="s">
        <v>235</v>
      </c>
      <c r="J80" s="168">
        <v>4</v>
      </c>
      <c r="K80" s="167" t="s">
        <v>226</v>
      </c>
    </row>
    <row r="81" spans="1:11" ht="33.75">
      <c r="A81" s="247"/>
      <c r="B81" s="244"/>
      <c r="C81" s="166" t="s">
        <v>236</v>
      </c>
      <c r="D81" s="167" t="s">
        <v>237</v>
      </c>
      <c r="E81" s="237"/>
      <c r="F81" s="168">
        <v>7</v>
      </c>
      <c r="G81" s="169" t="s">
        <v>211</v>
      </c>
      <c r="H81" s="237"/>
      <c r="I81" s="167" t="s">
        <v>235</v>
      </c>
      <c r="J81" s="168">
        <v>3</v>
      </c>
      <c r="K81" s="167" t="s">
        <v>226</v>
      </c>
    </row>
    <row r="82" spans="1:11" ht="22.5">
      <c r="A82" s="247"/>
      <c r="B82" s="244"/>
      <c r="C82" s="167" t="s">
        <v>205</v>
      </c>
      <c r="D82" s="167" t="s">
        <v>238</v>
      </c>
      <c r="E82" s="237"/>
      <c r="F82" s="168">
        <v>9</v>
      </c>
      <c r="G82" s="169" t="s">
        <v>211</v>
      </c>
      <c r="H82" s="237"/>
      <c r="I82" s="167" t="s">
        <v>218</v>
      </c>
      <c r="J82" s="168">
        <v>4</v>
      </c>
      <c r="K82" s="167" t="s">
        <v>239</v>
      </c>
    </row>
    <row r="83" spans="1:11" ht="33.75">
      <c r="A83" s="247"/>
      <c r="B83" s="244"/>
      <c r="C83" s="170" t="s">
        <v>240</v>
      </c>
      <c r="D83" s="171" t="s">
        <v>241</v>
      </c>
      <c r="E83" s="237"/>
      <c r="F83" s="168">
        <v>9</v>
      </c>
      <c r="G83" s="169" t="s">
        <v>211</v>
      </c>
      <c r="H83" s="237"/>
      <c r="I83" s="167" t="s">
        <v>242</v>
      </c>
      <c r="J83" s="168">
        <v>3</v>
      </c>
      <c r="K83" s="167" t="s">
        <v>239</v>
      </c>
    </row>
    <row r="84" spans="1:11" ht="33.75">
      <c r="A84" s="247"/>
      <c r="B84" s="244"/>
      <c r="C84" s="167" t="s">
        <v>206</v>
      </c>
      <c r="D84" s="167" t="s">
        <v>243</v>
      </c>
      <c r="E84" s="237"/>
      <c r="F84" s="168">
        <v>9</v>
      </c>
      <c r="G84" s="169" t="s">
        <v>211</v>
      </c>
      <c r="H84" s="237"/>
      <c r="I84" s="167" t="s">
        <v>244</v>
      </c>
      <c r="J84" s="168">
        <v>2</v>
      </c>
      <c r="K84" s="167" t="s">
        <v>239</v>
      </c>
    </row>
    <row r="85" spans="1:11" ht="33.75">
      <c r="A85" s="243"/>
      <c r="B85" s="249"/>
      <c r="C85" s="167" t="s">
        <v>241</v>
      </c>
      <c r="D85" s="167" t="s">
        <v>243</v>
      </c>
      <c r="E85" s="238"/>
      <c r="F85" s="168">
        <v>9</v>
      </c>
      <c r="G85" s="169" t="s">
        <v>211</v>
      </c>
      <c r="H85" s="238"/>
      <c r="I85" s="167" t="s">
        <v>244</v>
      </c>
      <c r="J85" s="168">
        <v>2</v>
      </c>
      <c r="K85" s="167" t="s">
        <v>239</v>
      </c>
    </row>
    <row r="87" spans="1:11" ht="25.5">
      <c r="A87" s="224" t="s">
        <v>314</v>
      </c>
      <c r="B87" s="226" t="s">
        <v>315</v>
      </c>
      <c r="C87" s="173" t="s">
        <v>316</v>
      </c>
      <c r="D87" s="174" t="s">
        <v>317</v>
      </c>
      <c r="E87" s="223" t="s">
        <v>318</v>
      </c>
      <c r="F87" s="175">
        <v>6</v>
      </c>
      <c r="G87" s="176" t="s">
        <v>211</v>
      </c>
      <c r="H87" s="177" t="s">
        <v>319</v>
      </c>
      <c r="I87" s="178" t="s">
        <v>320</v>
      </c>
      <c r="J87" s="175">
        <v>1</v>
      </c>
      <c r="K87" s="178" t="s">
        <v>239</v>
      </c>
    </row>
    <row r="88" spans="1:11" ht="38.25">
      <c r="A88" s="225"/>
      <c r="B88" s="227"/>
      <c r="C88" s="173" t="s">
        <v>321</v>
      </c>
      <c r="D88" s="179" t="s">
        <v>243</v>
      </c>
      <c r="E88" s="223"/>
      <c r="F88" s="175">
        <v>7</v>
      </c>
      <c r="G88" s="176" t="s">
        <v>211</v>
      </c>
      <c r="H88" s="180" t="s">
        <v>322</v>
      </c>
      <c r="I88" s="178" t="s">
        <v>323</v>
      </c>
      <c r="J88" s="175">
        <v>2</v>
      </c>
      <c r="K88" s="178" t="s">
        <v>239</v>
      </c>
    </row>
    <row r="90" spans="1:11" ht="38.25">
      <c r="A90" s="224" t="s">
        <v>324</v>
      </c>
      <c r="B90" s="229" t="s">
        <v>325</v>
      </c>
      <c r="C90" s="173" t="s">
        <v>227</v>
      </c>
      <c r="D90" s="174" t="s">
        <v>326</v>
      </c>
      <c r="E90" s="223" t="s">
        <v>327</v>
      </c>
      <c r="F90" s="175">
        <v>6</v>
      </c>
      <c r="G90" s="176" t="s">
        <v>211</v>
      </c>
      <c r="H90" s="180" t="s">
        <v>328</v>
      </c>
      <c r="I90" s="178" t="s">
        <v>329</v>
      </c>
      <c r="J90" s="175">
        <v>1</v>
      </c>
      <c r="K90" s="178" t="s">
        <v>239</v>
      </c>
    </row>
    <row r="91" spans="1:11" ht="38.25">
      <c r="A91" s="228"/>
      <c r="B91" s="226"/>
      <c r="C91" s="173" t="s">
        <v>321</v>
      </c>
      <c r="D91" s="174" t="s">
        <v>243</v>
      </c>
      <c r="E91" s="223"/>
      <c r="F91" s="175">
        <v>7</v>
      </c>
      <c r="G91" s="176" t="s">
        <v>211</v>
      </c>
      <c r="H91" s="177" t="s">
        <v>330</v>
      </c>
      <c r="I91" s="178" t="s">
        <v>331</v>
      </c>
      <c r="J91" s="175">
        <v>2</v>
      </c>
      <c r="K91" s="178" t="s">
        <v>239</v>
      </c>
    </row>
    <row r="92" spans="1:11" ht="63.75">
      <c r="A92" s="225"/>
      <c r="B92" s="227"/>
      <c r="C92" s="173" t="s">
        <v>332</v>
      </c>
      <c r="D92" s="174" t="s">
        <v>333</v>
      </c>
      <c r="E92" s="223"/>
      <c r="F92" s="175">
        <v>8</v>
      </c>
      <c r="G92" s="176" t="s">
        <v>211</v>
      </c>
      <c r="H92" s="180" t="s">
        <v>334</v>
      </c>
      <c r="I92" s="178" t="s">
        <v>235</v>
      </c>
      <c r="J92" s="175">
        <v>3</v>
      </c>
      <c r="K92" s="178" t="s">
        <v>335</v>
      </c>
    </row>
    <row r="94" spans="1:11" ht="38.25">
      <c r="A94" s="221" t="s">
        <v>336</v>
      </c>
      <c r="B94" s="222" t="s">
        <v>337</v>
      </c>
      <c r="C94" s="173" t="s">
        <v>338</v>
      </c>
      <c r="D94" s="174" t="s">
        <v>339</v>
      </c>
      <c r="E94" s="223" t="s">
        <v>340</v>
      </c>
      <c r="F94" s="175">
        <v>4</v>
      </c>
      <c r="G94" s="176" t="s">
        <v>211</v>
      </c>
      <c r="H94" s="180" t="s">
        <v>341</v>
      </c>
      <c r="I94" s="178" t="s">
        <v>342</v>
      </c>
      <c r="J94" s="175">
        <v>2</v>
      </c>
      <c r="K94" s="178" t="s">
        <v>239</v>
      </c>
    </row>
    <row r="95" spans="1:11" ht="63.75">
      <c r="A95" s="221"/>
      <c r="B95" s="222"/>
      <c r="C95" s="173" t="s">
        <v>343</v>
      </c>
      <c r="D95" s="174" t="s">
        <v>317</v>
      </c>
      <c r="E95" s="223"/>
      <c r="F95" s="175">
        <v>5</v>
      </c>
      <c r="G95" s="176" t="s">
        <v>211</v>
      </c>
      <c r="H95" s="180" t="s">
        <v>344</v>
      </c>
      <c r="I95" s="178" t="s">
        <v>342</v>
      </c>
      <c r="J95" s="175">
        <v>2</v>
      </c>
      <c r="K95" s="178" t="s">
        <v>239</v>
      </c>
    </row>
    <row r="96" spans="1:11" ht="58.5" customHeight="1">
      <c r="A96" s="221"/>
      <c r="B96" s="222"/>
      <c r="C96" s="173" t="s">
        <v>345</v>
      </c>
      <c r="D96" s="174" t="s">
        <v>346</v>
      </c>
      <c r="E96" s="223"/>
      <c r="F96" s="175">
        <v>8</v>
      </c>
      <c r="G96" s="176" t="s">
        <v>211</v>
      </c>
      <c r="H96" s="177" t="s">
        <v>347</v>
      </c>
      <c r="I96" s="178" t="s">
        <v>342</v>
      </c>
      <c r="J96" s="175">
        <v>2</v>
      </c>
      <c r="K96" s="178" t="s">
        <v>239</v>
      </c>
    </row>
  </sheetData>
  <mergeCells count="108">
    <mergeCell ref="A78:A85"/>
    <mergeCell ref="B78:B79"/>
    <mergeCell ref="E78:E85"/>
    <mergeCell ref="B80:B85"/>
    <mergeCell ref="A33:A35"/>
    <mergeCell ref="B33:B35"/>
    <mergeCell ref="D33:D35"/>
    <mergeCell ref="E33:E35"/>
    <mergeCell ref="F33:F35"/>
    <mergeCell ref="H80:H85"/>
    <mergeCell ref="A3:A5"/>
    <mergeCell ref="B3:B5"/>
    <mergeCell ref="D3:D5"/>
    <mergeCell ref="A7:A11"/>
    <mergeCell ref="B7:B11"/>
    <mergeCell ref="D7:D11"/>
    <mergeCell ref="F7:F11"/>
    <mergeCell ref="A25:A27"/>
    <mergeCell ref="B25:B27"/>
    <mergeCell ref="D25:D27"/>
    <mergeCell ref="F25:F27"/>
    <mergeCell ref="A41:A42"/>
    <mergeCell ref="B41:B42"/>
    <mergeCell ref="D41:D42"/>
    <mergeCell ref="F41:F42"/>
    <mergeCell ref="A75:A76"/>
    <mergeCell ref="B75:B76"/>
    <mergeCell ref="E75:E76"/>
    <mergeCell ref="E66:E68"/>
    <mergeCell ref="F66:F68"/>
    <mergeCell ref="A37:A39"/>
    <mergeCell ref="B37:B39"/>
    <mergeCell ref="D37:D39"/>
    <mergeCell ref="F37:F39"/>
    <mergeCell ref="D57:D59"/>
    <mergeCell ref="F57:F59"/>
    <mergeCell ref="A44:A46"/>
    <mergeCell ref="B44:B46"/>
    <mergeCell ref="D44:D46"/>
    <mergeCell ref="E44:E46"/>
    <mergeCell ref="F44:F46"/>
    <mergeCell ref="A48:A50"/>
    <mergeCell ref="B48:B50"/>
    <mergeCell ref="D48:D50"/>
    <mergeCell ref="E48:E50"/>
    <mergeCell ref="F48:F50"/>
    <mergeCell ref="A70:A72"/>
    <mergeCell ref="B70:B72"/>
    <mergeCell ref="D70:D72"/>
    <mergeCell ref="E70:E72"/>
    <mergeCell ref="F70:F72"/>
    <mergeCell ref="A13:A17"/>
    <mergeCell ref="B13:B17"/>
    <mergeCell ref="D13:D17"/>
    <mergeCell ref="F13:F17"/>
    <mergeCell ref="A61:A64"/>
    <mergeCell ref="B61:B64"/>
    <mergeCell ref="D61:D64"/>
    <mergeCell ref="E61:E64"/>
    <mergeCell ref="F61:F64"/>
    <mergeCell ref="A52:A55"/>
    <mergeCell ref="B52:B55"/>
    <mergeCell ref="D52:D55"/>
    <mergeCell ref="E52:E55"/>
    <mergeCell ref="F52:F55"/>
    <mergeCell ref="A57:A59"/>
    <mergeCell ref="B57:B59"/>
    <mergeCell ref="A66:A68"/>
    <mergeCell ref="B66:B68"/>
    <mergeCell ref="D66:D68"/>
    <mergeCell ref="H29:H31"/>
    <mergeCell ref="I29:I31"/>
    <mergeCell ref="K29:K31"/>
    <mergeCell ref="M29:M31"/>
    <mergeCell ref="A21:A23"/>
    <mergeCell ref="B21:B23"/>
    <mergeCell ref="D21:D23"/>
    <mergeCell ref="F21:F23"/>
    <mergeCell ref="H21:H23"/>
    <mergeCell ref="I21:I23"/>
    <mergeCell ref="A29:A31"/>
    <mergeCell ref="B29:B31"/>
    <mergeCell ref="D29:D31"/>
    <mergeCell ref="F29:F31"/>
    <mergeCell ref="K21:K23"/>
    <mergeCell ref="M21:M23"/>
    <mergeCell ref="H7:H11"/>
    <mergeCell ref="I7:I11"/>
    <mergeCell ref="K7:K11"/>
    <mergeCell ref="M7:M11"/>
    <mergeCell ref="H13:H17"/>
    <mergeCell ref="I13:I17"/>
    <mergeCell ref="K13:K17"/>
    <mergeCell ref="M13:M17"/>
    <mergeCell ref="H3:H5"/>
    <mergeCell ref="I3:I5"/>
    <mergeCell ref="K3:K5"/>
    <mergeCell ref="L3:L5"/>
    <mergeCell ref="M3:M5"/>
    <mergeCell ref="A94:A96"/>
    <mergeCell ref="B94:B96"/>
    <mergeCell ref="E94:E96"/>
    <mergeCell ref="A87:A88"/>
    <mergeCell ref="B87:B88"/>
    <mergeCell ref="E87:E88"/>
    <mergeCell ref="A90:A92"/>
    <mergeCell ref="B90:B92"/>
    <mergeCell ref="E90:E92"/>
  </mergeCells>
  <conditionalFormatting sqref="G75:G76">
    <cfRule type="cellIs" dxfId="52" priority="33" stopIfTrue="1" operator="equal">
      <formula>"VM"</formula>
    </cfRule>
    <cfRule type="cellIs" dxfId="51" priority="34" stopIfTrue="1" operator="equal">
      <formula>"vc"</formula>
    </cfRule>
    <cfRule type="cellIs" dxfId="50" priority="35" stopIfTrue="1" operator="equal">
      <formula>"vs"</formula>
    </cfRule>
    <cfRule type="cellIs" dxfId="49" priority="36" stopIfTrue="1" operator="equal">
      <formula>"Std"</formula>
    </cfRule>
  </conditionalFormatting>
  <conditionalFormatting sqref="G78:G79">
    <cfRule type="cellIs" dxfId="48" priority="29" stopIfTrue="1" operator="equal">
      <formula>"VM"</formula>
    </cfRule>
    <cfRule type="cellIs" dxfId="47" priority="30" stopIfTrue="1" operator="equal">
      <formula>"vc"</formula>
    </cfRule>
    <cfRule type="cellIs" dxfId="46" priority="31" stopIfTrue="1" operator="equal">
      <formula>"vs"</formula>
    </cfRule>
    <cfRule type="cellIs" dxfId="45" priority="32" stopIfTrue="1" operator="equal">
      <formula>"Std"</formula>
    </cfRule>
  </conditionalFormatting>
  <conditionalFormatting sqref="G80:G81">
    <cfRule type="cellIs" dxfId="44" priority="25" stopIfTrue="1" operator="equal">
      <formula>"VM"</formula>
    </cfRule>
    <cfRule type="cellIs" dxfId="43" priority="26" stopIfTrue="1" operator="equal">
      <formula>"vc"</formula>
    </cfRule>
    <cfRule type="cellIs" dxfId="42" priority="27" stopIfTrue="1" operator="equal">
      <formula>"vs"</formula>
    </cfRule>
    <cfRule type="cellIs" dxfId="41" priority="28" stopIfTrue="1" operator="equal">
      <formula>"Std"</formula>
    </cfRule>
  </conditionalFormatting>
  <conditionalFormatting sqref="G84 G82">
    <cfRule type="cellIs" dxfId="40" priority="21" stopIfTrue="1" operator="equal">
      <formula>"VM"</formula>
    </cfRule>
    <cfRule type="cellIs" dxfId="39" priority="22" stopIfTrue="1" operator="equal">
      <formula>"vc"</formula>
    </cfRule>
    <cfRule type="cellIs" dxfId="38" priority="23" stopIfTrue="1" operator="equal">
      <formula>"vs"</formula>
    </cfRule>
    <cfRule type="cellIs" dxfId="37" priority="24" stopIfTrue="1" operator="equal">
      <formula>"Std"</formula>
    </cfRule>
  </conditionalFormatting>
  <conditionalFormatting sqref="G83">
    <cfRule type="cellIs" dxfId="36" priority="17" stopIfTrue="1" operator="equal">
      <formula>"VM"</formula>
    </cfRule>
    <cfRule type="cellIs" dxfId="35" priority="18" stopIfTrue="1" operator="equal">
      <formula>"vc"</formula>
    </cfRule>
    <cfRule type="cellIs" dxfId="34" priority="19" stopIfTrue="1" operator="equal">
      <formula>"vs"</formula>
    </cfRule>
    <cfRule type="cellIs" dxfId="33" priority="20" stopIfTrue="1" operator="equal">
      <formula>"Std"</formula>
    </cfRule>
  </conditionalFormatting>
  <conditionalFormatting sqref="G85">
    <cfRule type="cellIs" dxfId="32" priority="13" stopIfTrue="1" operator="equal">
      <formula>"VM"</formula>
    </cfRule>
    <cfRule type="cellIs" dxfId="31" priority="14" stopIfTrue="1" operator="equal">
      <formula>"vc"</formula>
    </cfRule>
    <cfRule type="cellIs" dxfId="30" priority="15" stopIfTrue="1" operator="equal">
      <formula>"vs"</formula>
    </cfRule>
    <cfRule type="cellIs" dxfId="29" priority="16" stopIfTrue="1" operator="equal">
      <formula>"Std"</formula>
    </cfRule>
  </conditionalFormatting>
  <conditionalFormatting sqref="G87:G88">
    <cfRule type="cellIs" dxfId="28" priority="9" stopIfTrue="1" operator="equal">
      <formula>"VM"</formula>
    </cfRule>
    <cfRule type="cellIs" dxfId="27" priority="10" stopIfTrue="1" operator="equal">
      <formula>"vc"</formula>
    </cfRule>
    <cfRule type="cellIs" dxfId="26" priority="11" stopIfTrue="1" operator="equal">
      <formula>"vs"</formula>
    </cfRule>
    <cfRule type="cellIs" dxfId="25" priority="12" stopIfTrue="1" operator="equal">
      <formula>"Std"</formula>
    </cfRule>
  </conditionalFormatting>
  <conditionalFormatting sqref="G90:G92">
    <cfRule type="cellIs" dxfId="24" priority="5" stopIfTrue="1" operator="equal">
      <formula>"VM"</formula>
    </cfRule>
    <cfRule type="cellIs" dxfId="23" priority="6" stopIfTrue="1" operator="equal">
      <formula>"vc"</formula>
    </cfRule>
    <cfRule type="cellIs" dxfId="22" priority="7" stopIfTrue="1" operator="equal">
      <formula>"vs"</formula>
    </cfRule>
    <cfRule type="cellIs" dxfId="21" priority="8" stopIfTrue="1" operator="equal">
      <formula>"Std"</formula>
    </cfRule>
  </conditionalFormatting>
  <conditionalFormatting sqref="G94:G96">
    <cfRule type="cellIs" dxfId="20" priority="1" stopIfTrue="1" operator="equal">
      <formula>"VM"</formula>
    </cfRule>
    <cfRule type="cellIs" dxfId="19" priority="2" stopIfTrue="1" operator="equal">
      <formula>"vc"</formula>
    </cfRule>
    <cfRule type="cellIs" dxfId="18" priority="3" stopIfTrue="1" operator="equal">
      <formula>"vs"</formula>
    </cfRule>
    <cfRule type="cellIs" dxfId="17" priority="4" stopIfTrue="1" operator="equal">
      <formula>"Std"</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pageSetUpPr autoPageBreaks="0" fitToPage="1"/>
  </sheetPr>
  <dimension ref="A1:AH53"/>
  <sheetViews>
    <sheetView showGridLines="0" showZeros="0" zoomScale="70" zoomScaleNormal="70" workbookViewId="0">
      <pane ySplit="7" topLeftCell="A11" activePane="bottomLeft" state="frozen"/>
      <selection activeCell="B29" sqref="B29"/>
      <selection pane="bottomLeft" activeCell="F19" sqref="F19:F22"/>
    </sheetView>
  </sheetViews>
  <sheetFormatPr defaultColWidth="10.7109375" defaultRowHeight="15.95" customHeight="1"/>
  <cols>
    <col min="1" max="1" width="4.7109375" customWidth="1"/>
    <col min="2" max="2" width="17.28515625" customWidth="1"/>
    <col min="3" max="3" width="14.85546875" customWidth="1"/>
    <col min="4" max="4" width="17.140625" customWidth="1"/>
    <col min="5" max="5" width="17.5703125" customWidth="1"/>
    <col min="6" max="6" width="14.7109375" customWidth="1"/>
    <col min="7" max="7" width="3.85546875" customWidth="1"/>
    <col min="8" max="10" width="2.7109375" customWidth="1"/>
    <col min="11" max="11" width="4.7109375" customWidth="1"/>
    <col min="12" max="12" width="16.140625" customWidth="1"/>
    <col min="13" max="15" width="14.7109375" customWidth="1"/>
    <col min="16" max="18" width="2.7109375" customWidth="1"/>
    <col min="19" max="19" width="4.7109375" customWidth="1"/>
    <col min="20" max="20" width="9.85546875" customWidth="1"/>
    <col min="21" max="21" width="6.140625" bestFit="1" customWidth="1"/>
    <col min="22" max="22" width="5.140625" customWidth="1"/>
    <col min="23" max="25" width="5.140625" style="89" customWidth="1"/>
    <col min="26" max="32" width="10.7109375" customWidth="1"/>
    <col min="33" max="33" width="10.85546875" customWidth="1"/>
    <col min="34" max="40" width="8.7109375" customWidth="1"/>
  </cols>
  <sheetData>
    <row r="1" spans="1:34" s="1" customFormat="1" ht="30" customHeight="1">
      <c r="A1" s="261" t="s">
        <v>82</v>
      </c>
      <c r="B1" s="261"/>
      <c r="C1" s="261"/>
      <c r="D1" s="261"/>
      <c r="E1" s="261"/>
      <c r="F1" s="261"/>
      <c r="G1" s="261"/>
      <c r="H1" s="261"/>
      <c r="I1" s="261"/>
      <c r="J1" s="261"/>
      <c r="K1" s="261"/>
      <c r="L1" s="261"/>
      <c r="M1" s="261"/>
      <c r="N1" s="261"/>
      <c r="O1" s="261"/>
      <c r="P1" s="263"/>
      <c r="Q1" s="263"/>
      <c r="R1" s="263"/>
      <c r="S1" s="263"/>
      <c r="T1" s="250"/>
      <c r="U1" s="250"/>
      <c r="W1" s="84"/>
      <c r="X1" s="84"/>
      <c r="Y1" s="84"/>
    </row>
    <row r="2" spans="1:34" s="2" customFormat="1" ht="9.9499999999999993" customHeight="1">
      <c r="A2" s="262" t="s">
        <v>86</v>
      </c>
      <c r="B2" s="257"/>
      <c r="C2" s="257"/>
      <c r="D2" s="4" t="s">
        <v>63</v>
      </c>
      <c r="E2" s="4" t="s">
        <v>62</v>
      </c>
      <c r="F2" s="256" t="s">
        <v>64</v>
      </c>
      <c r="G2" s="256"/>
      <c r="H2" s="257"/>
      <c r="I2" s="257"/>
      <c r="J2" s="257"/>
      <c r="K2" s="257"/>
      <c r="L2" s="264" t="s">
        <v>79</v>
      </c>
      <c r="M2" s="265"/>
      <c r="N2" s="266"/>
      <c r="O2" s="256" t="s">
        <v>61</v>
      </c>
      <c r="P2" s="257"/>
      <c r="Q2" s="257"/>
      <c r="R2" s="257"/>
      <c r="S2" s="257"/>
      <c r="T2" s="257"/>
      <c r="U2" s="69"/>
      <c r="W2" s="7"/>
      <c r="X2" s="7"/>
      <c r="Y2" s="7"/>
    </row>
    <row r="3" spans="1:34" s="6" customFormat="1" ht="15.95" customHeight="1">
      <c r="A3" s="251"/>
      <c r="B3" s="255"/>
      <c r="C3" s="255"/>
      <c r="D3" s="5"/>
      <c r="E3" s="5" t="s">
        <v>0</v>
      </c>
      <c r="F3" s="254"/>
      <c r="G3" s="254"/>
      <c r="H3" s="255"/>
      <c r="I3" s="255"/>
      <c r="J3" s="255"/>
      <c r="K3" s="255"/>
      <c r="L3" s="77" t="s">
        <v>0</v>
      </c>
      <c r="M3" s="79"/>
      <c r="N3" s="78"/>
      <c r="O3" s="254"/>
      <c r="P3" s="255"/>
      <c r="Q3" s="255"/>
      <c r="R3" s="255"/>
      <c r="S3" s="255"/>
      <c r="T3" s="255"/>
      <c r="U3" s="60">
        <f ca="1">COUNTIF($U$8:$U$150,"R")</f>
        <v>0</v>
      </c>
      <c r="V3" s="83">
        <f ca="1">COUNTIF($V$8:$V$150,"R")</f>
        <v>0</v>
      </c>
      <c r="W3" s="85"/>
      <c r="X3" s="85"/>
      <c r="Y3" s="85"/>
    </row>
    <row r="4" spans="1:34" s="2" customFormat="1" ht="9.9499999999999993" customHeight="1">
      <c r="A4" s="262" t="s">
        <v>87</v>
      </c>
      <c r="B4" s="257"/>
      <c r="C4" s="257"/>
      <c r="D4" s="4" t="s">
        <v>65</v>
      </c>
      <c r="E4" s="61" t="s">
        <v>77</v>
      </c>
      <c r="F4" s="278" t="s">
        <v>81</v>
      </c>
      <c r="G4" s="279"/>
      <c r="H4" s="279"/>
      <c r="I4" s="279"/>
      <c r="J4" s="279"/>
      <c r="K4" s="280"/>
      <c r="L4" s="274" t="s">
        <v>66</v>
      </c>
      <c r="M4" s="275"/>
      <c r="N4" s="276"/>
      <c r="O4" s="274" t="s">
        <v>60</v>
      </c>
      <c r="P4" s="275"/>
      <c r="Q4" s="275"/>
      <c r="R4" s="276"/>
      <c r="S4" s="265" t="s">
        <v>59</v>
      </c>
      <c r="T4" s="266"/>
      <c r="U4" s="81"/>
      <c r="W4" s="7"/>
      <c r="X4" s="7"/>
      <c r="Y4" s="7"/>
    </row>
    <row r="5" spans="1:34" s="6" customFormat="1" ht="15.95" customHeight="1">
      <c r="A5" s="251"/>
      <c r="B5" s="252"/>
      <c r="C5" s="253"/>
      <c r="D5" s="70"/>
      <c r="E5" s="71">
        <f ca="1">NOW()</f>
        <v>41566.499671064812</v>
      </c>
      <c r="F5" s="281"/>
      <c r="G5" s="282"/>
      <c r="H5" s="283"/>
      <c r="I5" s="283"/>
      <c r="J5" s="283"/>
      <c r="K5" s="284"/>
      <c r="L5" s="285"/>
      <c r="M5" s="283"/>
      <c r="N5" s="284"/>
      <c r="O5" s="258"/>
      <c r="P5" s="259"/>
      <c r="Q5" s="259"/>
      <c r="R5" s="260"/>
      <c r="S5" s="259"/>
      <c r="T5" s="260"/>
      <c r="U5" s="60">
        <f ca="1">COUNTIF($U$8:$U$150,"Y")</f>
        <v>0</v>
      </c>
      <c r="W5" s="85"/>
      <c r="X5" s="85"/>
      <c r="Y5" s="85"/>
    </row>
    <row r="6" spans="1:34" s="2" customFormat="1" ht="15.95" customHeight="1">
      <c r="A6" s="270" t="s">
        <v>67</v>
      </c>
      <c r="B6" s="271"/>
      <c r="C6" s="274" t="s">
        <v>68</v>
      </c>
      <c r="D6" s="275"/>
      <c r="E6" s="275"/>
      <c r="F6" s="275"/>
      <c r="G6" s="276"/>
      <c r="H6" s="272" t="s">
        <v>58</v>
      </c>
      <c r="I6" s="273"/>
      <c r="J6" s="273"/>
      <c r="K6" s="273"/>
      <c r="L6" s="267" t="s">
        <v>69</v>
      </c>
      <c r="M6" s="268"/>
      <c r="N6" s="268"/>
      <c r="O6" s="269"/>
      <c r="P6" s="277" t="s">
        <v>57</v>
      </c>
      <c r="Q6" s="273"/>
      <c r="R6" s="273"/>
      <c r="S6" s="273"/>
      <c r="T6" s="63"/>
      <c r="U6" s="60">
        <f ca="1">COUNTIF($U$8:$U$150,"G")</f>
        <v>0</v>
      </c>
      <c r="W6" s="86" t="s">
        <v>83</v>
      </c>
      <c r="X6" s="86" t="s">
        <v>84</v>
      </c>
      <c r="Y6" s="86" t="s">
        <v>85</v>
      </c>
    </row>
    <row r="7" spans="1:34" s="14" customFormat="1" ht="30" customHeight="1">
      <c r="A7" s="12" t="s">
        <v>72</v>
      </c>
      <c r="B7" s="12" t="s">
        <v>90</v>
      </c>
      <c r="C7" s="72" t="s">
        <v>71</v>
      </c>
      <c r="D7" s="72" t="s">
        <v>70</v>
      </c>
      <c r="E7" s="75" t="s">
        <v>88</v>
      </c>
      <c r="F7" s="72" t="s">
        <v>89</v>
      </c>
      <c r="G7" s="140" t="s">
        <v>179</v>
      </c>
      <c r="H7" s="13" t="s">
        <v>4</v>
      </c>
      <c r="I7" s="13" t="s">
        <v>5</v>
      </c>
      <c r="J7" s="13" t="s">
        <v>6</v>
      </c>
      <c r="K7" s="13" t="s">
        <v>1</v>
      </c>
      <c r="L7" s="76" t="s">
        <v>78</v>
      </c>
      <c r="M7" s="62" t="s">
        <v>73</v>
      </c>
      <c r="N7" s="62" t="s">
        <v>74</v>
      </c>
      <c r="O7" s="62" t="s">
        <v>80</v>
      </c>
      <c r="P7" s="13" t="s">
        <v>4</v>
      </c>
      <c r="Q7" s="13" t="s">
        <v>5</v>
      </c>
      <c r="R7" s="13" t="s">
        <v>6</v>
      </c>
      <c r="S7" s="13" t="s">
        <v>1</v>
      </c>
      <c r="T7" s="12" t="s">
        <v>75</v>
      </c>
      <c r="U7" s="82" t="str">
        <f ca="1">IF(SUM($U$3:$U$6)&gt;0,"Status"," ")</f>
        <v xml:space="preserve"> </v>
      </c>
      <c r="V7" s="92" t="str">
        <f ca="1">IF($V$3&gt;0,"3 weeks w/o action"," ")</f>
        <v xml:space="preserve"> </v>
      </c>
      <c r="W7" s="90">
        <f>SUM(W8:W48)</f>
        <v>0</v>
      </c>
      <c r="X7" s="90">
        <f>SUM(X8:X48)</f>
        <v>0</v>
      </c>
      <c r="Y7" s="90">
        <f>SUM(Y8:Y48)</f>
        <v>0</v>
      </c>
    </row>
    <row r="8" spans="1:34" s="20" customFormat="1" ht="56.25">
      <c r="A8" s="286">
        <v>1</v>
      </c>
      <c r="B8" s="290" t="s">
        <v>181</v>
      </c>
      <c r="C8" s="138" t="s">
        <v>162</v>
      </c>
      <c r="D8" s="289" t="s">
        <v>180</v>
      </c>
      <c r="E8" s="138" t="s">
        <v>163</v>
      </c>
      <c r="F8" s="138" t="s">
        <v>164</v>
      </c>
      <c r="G8" s="141"/>
      <c r="H8" s="17"/>
      <c r="I8" s="17"/>
      <c r="J8" s="17"/>
      <c r="K8" s="18">
        <f>PRODUCT(H8:J8)</f>
        <v>0</v>
      </c>
      <c r="L8" s="16"/>
      <c r="M8" s="16"/>
      <c r="N8" s="16"/>
      <c r="O8" s="68"/>
      <c r="P8" s="17"/>
      <c r="Q8" s="17"/>
      <c r="R8" s="17"/>
      <c r="S8" s="18">
        <f t="shared" ref="S8:S48" si="0">PRODUCT(P8:R8)</f>
        <v>0</v>
      </c>
      <c r="T8" s="68"/>
      <c r="U8" s="40" t="str">
        <f t="shared" ref="U8:U48" ca="1" si="1">IF(OR(K8=0,M8="No Action")," ",IF(ISTEXT(T8),IF(S8=0,"Y","G"),IF(O8&lt;=TODAY(),"R","Y")))</f>
        <v xml:space="preserve"> </v>
      </c>
      <c r="V8" s="80" t="str">
        <f ca="1">IF(AND(U8="R",OR(ISBLANK(O8),ISBLANK(N8),ISBLANK(M8),ISBLANK(L8))),IF(NOW()-21&gt;$D$5,"R"," ")," ")</f>
        <v xml:space="preserve"> </v>
      </c>
      <c r="W8" s="91">
        <f>IF(S8=0,IF(K8&gt;=125,1,0),IF(S8&gt;=125,1,0))</f>
        <v>0</v>
      </c>
      <c r="X8" s="91">
        <f>IF(S8=0,IF(K8&lt;125,IF(K8&gt;36,1,0),0),IF(S8&lt;125,IF(S8&gt;36,1,0),0))</f>
        <v>0</v>
      </c>
      <c r="Y8" s="91">
        <f>IF(S8=0,IF(K8&lt;=36,IF(K8&gt;=1,1,0),0),IF(S8&lt;=36,IF(S8&gt;=1,1,0),0))</f>
        <v>0</v>
      </c>
      <c r="Z8"/>
    </row>
    <row r="9" spans="1:34" s="20" customFormat="1" ht="45">
      <c r="A9" s="286">
        <f>A8+1</f>
        <v>2</v>
      </c>
      <c r="B9" s="291"/>
      <c r="C9" s="139" t="s">
        <v>165</v>
      </c>
      <c r="D9" s="289"/>
      <c r="E9" s="139" t="s">
        <v>166</v>
      </c>
      <c r="F9" s="139" t="s">
        <v>167</v>
      </c>
      <c r="G9" s="142"/>
      <c r="H9" s="17"/>
      <c r="I9" s="17"/>
      <c r="J9" s="17"/>
      <c r="K9" s="18">
        <f t="shared" ref="K9:K48" si="2">PRODUCT(H9:J9)</f>
        <v>0</v>
      </c>
      <c r="L9" s="16"/>
      <c r="M9" s="16"/>
      <c r="N9" s="16"/>
      <c r="O9" s="68"/>
      <c r="P9" s="17"/>
      <c r="Q9" s="17"/>
      <c r="R9" s="17"/>
      <c r="S9" s="18">
        <f t="shared" si="0"/>
        <v>0</v>
      </c>
      <c r="T9" s="16"/>
      <c r="U9" s="40" t="str">
        <f t="shared" ca="1" si="1"/>
        <v xml:space="preserve"> </v>
      </c>
      <c r="V9" s="80" t="str">
        <f t="shared" ref="V9:V48" ca="1" si="3">IF(AND(U9="R",OR(ISBLANK(O9),ISBLANK(N9),ISBLANK(M9),ISBLANK(L9))),IF(NOW()-21&gt;$D$5,"R"," ")," ")</f>
        <v xml:space="preserve"> </v>
      </c>
      <c r="W9" s="91">
        <f t="shared" ref="W9:W48" si="4">IF(S9=0,IF(K9&gt;=125,1,0),IF(S9&gt;=125,1,0))</f>
        <v>0</v>
      </c>
      <c r="X9" s="91">
        <f t="shared" ref="X9:X48" si="5">IF(S9=0,IF(K9&lt;125,IF(K9&gt;36,1,0),0),IF(S9&lt;125,IF(S9&gt;36,1,0),0))</f>
        <v>0</v>
      </c>
      <c r="Y9" s="91">
        <f t="shared" ref="Y9:Y48" si="6">IF(S9=0,IF(K9&lt;=36,IF(K9&gt;=1,1,0),0),IF(S9&lt;=36,IF(S9&gt;=1,1,0),0))</f>
        <v>0</v>
      </c>
      <c r="AF9" s="22"/>
      <c r="AG9" s="22"/>
      <c r="AH9" s="22"/>
    </row>
    <row r="10" spans="1:34" s="20" customFormat="1" ht="70.5" customHeight="1">
      <c r="A10" s="286">
        <f>A9+1</f>
        <v>3</v>
      </c>
      <c r="B10" s="292"/>
      <c r="C10" s="138" t="s">
        <v>168</v>
      </c>
      <c r="D10" s="289"/>
      <c r="E10" s="139" t="s">
        <v>166</v>
      </c>
      <c r="F10" s="139" t="s">
        <v>169</v>
      </c>
      <c r="G10" s="142"/>
      <c r="H10" s="17"/>
      <c r="I10" s="17"/>
      <c r="J10" s="17"/>
      <c r="K10" s="18">
        <f t="shared" si="2"/>
        <v>0</v>
      </c>
      <c r="L10" s="16"/>
      <c r="M10" s="16"/>
      <c r="N10" s="16"/>
      <c r="O10" s="68"/>
      <c r="P10" s="17"/>
      <c r="Q10" s="17"/>
      <c r="R10" s="17"/>
      <c r="S10" s="18">
        <f t="shared" si="0"/>
        <v>0</v>
      </c>
      <c r="T10" s="16"/>
      <c r="U10" s="40" t="str">
        <f t="shared" ca="1" si="1"/>
        <v xml:space="preserve"> </v>
      </c>
      <c r="V10" s="80" t="str">
        <f t="shared" ca="1" si="3"/>
        <v xml:space="preserve"> </v>
      </c>
      <c r="W10" s="91">
        <f t="shared" si="4"/>
        <v>0</v>
      </c>
      <c r="X10" s="91">
        <f t="shared" si="5"/>
        <v>0</v>
      </c>
      <c r="Y10" s="91">
        <f t="shared" si="6"/>
        <v>0</v>
      </c>
      <c r="AF10" s="22"/>
      <c r="AG10" s="22"/>
      <c r="AH10" s="22"/>
    </row>
    <row r="11" spans="1:34" s="20" customFormat="1" ht="32.25" customHeight="1">
      <c r="A11" s="286">
        <v>5</v>
      </c>
      <c r="B11" s="287" t="s">
        <v>182</v>
      </c>
      <c r="C11" s="139" t="s">
        <v>170</v>
      </c>
      <c r="D11" s="288" t="s">
        <v>178</v>
      </c>
      <c r="E11" s="139" t="s">
        <v>175</v>
      </c>
      <c r="F11" s="288" t="s">
        <v>176</v>
      </c>
      <c r="G11" s="142"/>
      <c r="H11" s="17"/>
      <c r="I11" s="17"/>
      <c r="J11" s="17"/>
      <c r="K11" s="18">
        <f t="shared" si="2"/>
        <v>0</v>
      </c>
      <c r="L11" s="16"/>
      <c r="M11" s="16"/>
      <c r="N11" s="16"/>
      <c r="O11" s="16"/>
      <c r="P11" s="17"/>
      <c r="Q11" s="17"/>
      <c r="R11" s="17"/>
      <c r="S11" s="18">
        <f t="shared" si="0"/>
        <v>0</v>
      </c>
      <c r="T11" s="16"/>
      <c r="U11" s="40" t="str">
        <f t="shared" ca="1" si="1"/>
        <v xml:space="preserve"> </v>
      </c>
      <c r="V11" s="80" t="str">
        <f t="shared" ca="1" si="3"/>
        <v xml:space="preserve"> </v>
      </c>
      <c r="W11" s="91">
        <f t="shared" si="4"/>
        <v>0</v>
      </c>
      <c r="X11" s="91">
        <f t="shared" si="5"/>
        <v>0</v>
      </c>
      <c r="Y11" s="91">
        <f t="shared" si="6"/>
        <v>0</v>
      </c>
      <c r="AF11" s="22"/>
      <c r="AG11" s="22"/>
      <c r="AH11" s="22"/>
    </row>
    <row r="12" spans="1:34" s="20" customFormat="1" ht="30.75" customHeight="1">
      <c r="A12" s="286">
        <f>A11+1</f>
        <v>6</v>
      </c>
      <c r="B12" s="287"/>
      <c r="C12" s="138" t="s">
        <v>171</v>
      </c>
      <c r="D12" s="288"/>
      <c r="E12" s="138" t="s">
        <v>172</v>
      </c>
      <c r="F12" s="288"/>
      <c r="G12" s="142"/>
      <c r="H12" s="17"/>
      <c r="I12" s="17"/>
      <c r="J12" s="17"/>
      <c r="K12" s="18">
        <f t="shared" si="2"/>
        <v>0</v>
      </c>
      <c r="L12" s="16"/>
      <c r="M12" s="16"/>
      <c r="N12" s="16"/>
      <c r="O12" s="16"/>
      <c r="P12" s="17"/>
      <c r="Q12" s="17"/>
      <c r="R12" s="17"/>
      <c r="S12" s="18">
        <f t="shared" si="0"/>
        <v>0</v>
      </c>
      <c r="T12" s="16"/>
      <c r="U12" s="40" t="str">
        <f t="shared" ca="1" si="1"/>
        <v xml:space="preserve"> </v>
      </c>
      <c r="V12" s="80" t="str">
        <f t="shared" ca="1" si="3"/>
        <v xml:space="preserve"> </v>
      </c>
      <c r="W12" s="91">
        <f t="shared" si="4"/>
        <v>0</v>
      </c>
      <c r="X12" s="91">
        <f t="shared" si="5"/>
        <v>0</v>
      </c>
      <c r="Y12" s="91">
        <f t="shared" si="6"/>
        <v>0</v>
      </c>
      <c r="AF12" s="22"/>
      <c r="AG12" s="22"/>
      <c r="AH12" s="22"/>
    </row>
    <row r="13" spans="1:34" s="20" customFormat="1" ht="25.5" customHeight="1">
      <c r="A13" s="286">
        <f>A12+1</f>
        <v>7</v>
      </c>
      <c r="B13" s="287"/>
      <c r="C13" s="139" t="s">
        <v>173</v>
      </c>
      <c r="D13" s="288"/>
      <c r="E13" s="139" t="s">
        <v>175</v>
      </c>
      <c r="F13" s="288"/>
      <c r="G13" s="142"/>
      <c r="H13" s="17"/>
      <c r="I13" s="17"/>
      <c r="J13" s="17"/>
      <c r="K13" s="18">
        <f t="shared" si="2"/>
        <v>0</v>
      </c>
      <c r="L13" s="16"/>
      <c r="M13" s="16"/>
      <c r="N13" s="16"/>
      <c r="O13" s="16"/>
      <c r="P13" s="17"/>
      <c r="Q13" s="17"/>
      <c r="R13" s="17"/>
      <c r="S13" s="18">
        <f t="shared" si="0"/>
        <v>0</v>
      </c>
      <c r="T13" s="16"/>
      <c r="U13" s="40" t="str">
        <f t="shared" ca="1" si="1"/>
        <v xml:space="preserve"> </v>
      </c>
      <c r="V13" s="80" t="str">
        <f t="shared" ca="1" si="3"/>
        <v xml:space="preserve"> </v>
      </c>
      <c r="W13" s="91">
        <f t="shared" si="4"/>
        <v>0</v>
      </c>
      <c r="X13" s="91">
        <f t="shared" si="5"/>
        <v>0</v>
      </c>
      <c r="Y13" s="91">
        <f t="shared" si="6"/>
        <v>0</v>
      </c>
      <c r="AF13" s="22"/>
      <c r="AG13" s="22"/>
      <c r="AH13" s="22"/>
    </row>
    <row r="14" spans="1:34" s="20" customFormat="1" ht="48.75" customHeight="1">
      <c r="A14" s="286"/>
      <c r="B14" s="287"/>
      <c r="C14" s="139" t="s">
        <v>177</v>
      </c>
      <c r="D14" s="288"/>
      <c r="E14" s="138" t="s">
        <v>172</v>
      </c>
      <c r="F14" s="288"/>
      <c r="G14" s="142"/>
      <c r="H14" s="17"/>
      <c r="I14" s="17"/>
      <c r="J14" s="17"/>
      <c r="K14" s="18">
        <f t="shared" si="2"/>
        <v>0</v>
      </c>
      <c r="L14" s="16"/>
      <c r="M14" s="16"/>
      <c r="N14" s="16"/>
      <c r="O14" s="16"/>
      <c r="P14" s="17"/>
      <c r="Q14" s="17"/>
      <c r="R14" s="17"/>
      <c r="S14" s="18">
        <f t="shared" si="0"/>
        <v>0</v>
      </c>
      <c r="T14" s="16"/>
      <c r="U14" s="40" t="str">
        <f t="shared" ca="1" si="1"/>
        <v xml:space="preserve"> </v>
      </c>
      <c r="V14" s="80" t="str">
        <f t="shared" ca="1" si="3"/>
        <v xml:space="preserve"> </v>
      </c>
      <c r="W14" s="91">
        <f t="shared" si="4"/>
        <v>0</v>
      </c>
      <c r="X14" s="91">
        <f t="shared" si="5"/>
        <v>0</v>
      </c>
      <c r="Y14" s="91">
        <f t="shared" si="6"/>
        <v>0</v>
      </c>
      <c r="AF14" s="22"/>
      <c r="AG14" s="22"/>
      <c r="AH14" s="22"/>
    </row>
    <row r="15" spans="1:34" s="20" customFormat="1" ht="56.25">
      <c r="A15" s="286" t="e">
        <f>NA()</f>
        <v>#N/A</v>
      </c>
      <c r="B15" s="287"/>
      <c r="C15" s="139" t="s">
        <v>174</v>
      </c>
      <c r="D15" s="288"/>
      <c r="E15" s="139" t="s">
        <v>166</v>
      </c>
      <c r="F15" s="288"/>
      <c r="G15" s="143"/>
      <c r="H15" s="17"/>
      <c r="I15" s="17"/>
      <c r="J15" s="17"/>
      <c r="K15" s="18">
        <f t="shared" si="2"/>
        <v>0</v>
      </c>
      <c r="L15" s="16"/>
      <c r="M15" s="16"/>
      <c r="N15" s="16"/>
      <c r="O15" s="16"/>
      <c r="P15" s="17"/>
      <c r="Q15" s="17"/>
      <c r="R15" s="17"/>
      <c r="S15" s="18">
        <f t="shared" si="0"/>
        <v>0</v>
      </c>
      <c r="T15" s="16"/>
      <c r="U15" s="40" t="str">
        <f t="shared" ca="1" si="1"/>
        <v xml:space="preserve"> </v>
      </c>
      <c r="V15" s="80" t="str">
        <f t="shared" ca="1" si="3"/>
        <v xml:space="preserve"> </v>
      </c>
      <c r="W15" s="91">
        <f t="shared" si="4"/>
        <v>0</v>
      </c>
      <c r="X15" s="91">
        <f t="shared" si="5"/>
        <v>0</v>
      </c>
      <c r="Y15" s="91">
        <f t="shared" si="6"/>
        <v>0</v>
      </c>
      <c r="AF15" s="22"/>
      <c r="AG15" s="22"/>
      <c r="AH15" s="22"/>
    </row>
    <row r="16" spans="1:34" s="20" customFormat="1" ht="38.25" customHeight="1">
      <c r="A16" s="286">
        <v>10</v>
      </c>
      <c r="B16" s="293" t="s">
        <v>186</v>
      </c>
      <c r="C16" s="139" t="s">
        <v>173</v>
      </c>
      <c r="D16" s="294" t="s">
        <v>187</v>
      </c>
      <c r="E16" s="144" t="s">
        <v>175</v>
      </c>
      <c r="F16" s="295" t="s">
        <v>183</v>
      </c>
      <c r="G16" s="21"/>
      <c r="H16" s="17"/>
      <c r="I16" s="17"/>
      <c r="J16" s="17"/>
      <c r="K16" s="18">
        <f t="shared" si="2"/>
        <v>0</v>
      </c>
      <c r="L16" s="16"/>
      <c r="M16" s="16"/>
      <c r="N16" s="16"/>
      <c r="O16" s="16"/>
      <c r="P16" s="17"/>
      <c r="Q16" s="17"/>
      <c r="R16" s="17"/>
      <c r="S16" s="18">
        <f t="shared" si="0"/>
        <v>0</v>
      </c>
      <c r="T16" s="16"/>
      <c r="U16" s="40" t="str">
        <f t="shared" ca="1" si="1"/>
        <v xml:space="preserve"> </v>
      </c>
      <c r="V16" s="80" t="str">
        <f t="shared" ca="1" si="3"/>
        <v xml:space="preserve"> </v>
      </c>
      <c r="W16" s="91">
        <f t="shared" si="4"/>
        <v>0</v>
      </c>
      <c r="X16" s="91">
        <f t="shared" si="5"/>
        <v>0</v>
      </c>
      <c r="Y16" s="91">
        <f t="shared" si="6"/>
        <v>0</v>
      </c>
      <c r="AF16" s="22"/>
      <c r="AG16" s="22"/>
      <c r="AH16" s="22"/>
    </row>
    <row r="17" spans="1:34" s="20" customFormat="1" ht="54" customHeight="1">
      <c r="A17" s="286">
        <f>A16+1</f>
        <v>11</v>
      </c>
      <c r="B17" s="293"/>
      <c r="C17" s="139" t="s">
        <v>184</v>
      </c>
      <c r="D17" s="294"/>
      <c r="E17" s="145" t="s">
        <v>172</v>
      </c>
      <c r="F17" s="295"/>
      <c r="G17" s="21"/>
      <c r="H17" s="17"/>
      <c r="I17" s="17"/>
      <c r="J17" s="17"/>
      <c r="K17" s="18">
        <f t="shared" si="2"/>
        <v>0</v>
      </c>
      <c r="L17" s="16"/>
      <c r="M17" s="16"/>
      <c r="N17" s="16"/>
      <c r="O17" s="16"/>
      <c r="P17" s="17"/>
      <c r="Q17" s="17"/>
      <c r="R17" s="17"/>
      <c r="S17" s="18">
        <f t="shared" si="0"/>
        <v>0</v>
      </c>
      <c r="T17" s="16"/>
      <c r="U17" s="40" t="str">
        <f t="shared" ca="1" si="1"/>
        <v xml:space="preserve"> </v>
      </c>
      <c r="V17" s="80" t="str">
        <f t="shared" ca="1" si="3"/>
        <v xml:space="preserve"> </v>
      </c>
      <c r="W17" s="91">
        <f t="shared" si="4"/>
        <v>0</v>
      </c>
      <c r="X17" s="91">
        <f t="shared" si="5"/>
        <v>0</v>
      </c>
      <c r="Y17" s="91">
        <f t="shared" si="6"/>
        <v>0</v>
      </c>
      <c r="AF17" s="22"/>
      <c r="AG17" s="22"/>
      <c r="AH17" s="22"/>
    </row>
    <row r="18" spans="1:34" s="20" customFormat="1" ht="111.75" customHeight="1">
      <c r="A18" s="286">
        <v>5</v>
      </c>
      <c r="B18" s="293"/>
      <c r="C18" s="138" t="s">
        <v>185</v>
      </c>
      <c r="D18" s="294"/>
      <c r="E18" s="144" t="s">
        <v>166</v>
      </c>
      <c r="F18" s="295"/>
      <c r="G18" s="21"/>
      <c r="H18" s="17"/>
      <c r="I18" s="17"/>
      <c r="J18" s="17"/>
      <c r="K18" s="18">
        <f t="shared" si="2"/>
        <v>0</v>
      </c>
      <c r="L18" s="16"/>
      <c r="M18" s="16"/>
      <c r="N18" s="16"/>
      <c r="O18" s="16"/>
      <c r="P18" s="19"/>
      <c r="Q18" s="17"/>
      <c r="R18" s="19"/>
      <c r="S18" s="18">
        <f t="shared" si="0"/>
        <v>0</v>
      </c>
      <c r="T18" s="16"/>
      <c r="U18" s="40" t="str">
        <f t="shared" ca="1" si="1"/>
        <v xml:space="preserve"> </v>
      </c>
      <c r="V18" s="80" t="str">
        <f t="shared" ca="1" si="3"/>
        <v xml:space="preserve"> </v>
      </c>
      <c r="W18" s="91">
        <f t="shared" si="4"/>
        <v>0</v>
      </c>
      <c r="X18" s="91">
        <f t="shared" si="5"/>
        <v>0</v>
      </c>
      <c r="Y18" s="91">
        <f t="shared" si="6"/>
        <v>0</v>
      </c>
      <c r="AF18" s="22"/>
      <c r="AG18" s="22"/>
      <c r="AH18" s="22"/>
    </row>
    <row r="19" spans="1:34" s="20" customFormat="1" ht="27" customHeight="1">
      <c r="A19" s="286">
        <v>15</v>
      </c>
      <c r="B19" s="293" t="s">
        <v>194</v>
      </c>
      <c r="C19" s="138" t="s">
        <v>188</v>
      </c>
      <c r="D19" s="294" t="s">
        <v>195</v>
      </c>
      <c r="E19" s="295" t="s">
        <v>189</v>
      </c>
      <c r="F19" s="295" t="s">
        <v>190</v>
      </c>
      <c r="G19" s="21"/>
      <c r="H19" s="17"/>
      <c r="I19" s="17"/>
      <c r="J19" s="17"/>
      <c r="K19" s="18">
        <f t="shared" si="2"/>
        <v>0</v>
      </c>
      <c r="L19" s="16"/>
      <c r="M19" s="16"/>
      <c r="N19" s="16"/>
      <c r="O19" s="16"/>
      <c r="P19" s="19"/>
      <c r="Q19" s="17"/>
      <c r="R19" s="19"/>
      <c r="S19" s="18">
        <f t="shared" si="0"/>
        <v>0</v>
      </c>
      <c r="T19" s="16"/>
      <c r="U19" s="40" t="str">
        <f t="shared" ca="1" si="1"/>
        <v xml:space="preserve"> </v>
      </c>
      <c r="V19" s="80" t="str">
        <f t="shared" ca="1" si="3"/>
        <v xml:space="preserve"> </v>
      </c>
      <c r="W19" s="91">
        <f t="shared" si="4"/>
        <v>0</v>
      </c>
      <c r="X19" s="91">
        <f t="shared" si="5"/>
        <v>0</v>
      </c>
      <c r="Y19" s="91">
        <f t="shared" si="6"/>
        <v>0</v>
      </c>
      <c r="AF19" s="22"/>
      <c r="AG19" s="22"/>
      <c r="AH19" s="22"/>
    </row>
    <row r="20" spans="1:34" s="20" customFormat="1" ht="30.75" customHeight="1">
      <c r="A20" s="286"/>
      <c r="B20" s="293"/>
      <c r="C20" s="138" t="s">
        <v>191</v>
      </c>
      <c r="D20" s="294"/>
      <c r="E20" s="295"/>
      <c r="F20" s="295"/>
      <c r="G20" s="21"/>
      <c r="H20" s="17"/>
      <c r="I20" s="17"/>
      <c r="J20" s="17"/>
      <c r="K20" s="18">
        <f t="shared" si="2"/>
        <v>0</v>
      </c>
      <c r="L20" s="16"/>
      <c r="M20" s="16"/>
      <c r="N20" s="16"/>
      <c r="O20" s="16"/>
      <c r="P20" s="19"/>
      <c r="Q20" s="17"/>
      <c r="R20" s="19"/>
      <c r="S20" s="18">
        <f t="shared" si="0"/>
        <v>0</v>
      </c>
      <c r="T20" s="16"/>
      <c r="U20" s="40" t="str">
        <f t="shared" ca="1" si="1"/>
        <v xml:space="preserve"> </v>
      </c>
      <c r="V20" s="80" t="str">
        <f t="shared" ca="1" si="3"/>
        <v xml:space="preserve"> </v>
      </c>
      <c r="W20" s="91">
        <f t="shared" si="4"/>
        <v>0</v>
      </c>
      <c r="X20" s="91">
        <f t="shared" si="5"/>
        <v>0</v>
      </c>
      <c r="Y20" s="91">
        <f t="shared" si="6"/>
        <v>0</v>
      </c>
      <c r="AF20" s="22"/>
      <c r="AG20" s="22"/>
      <c r="AH20" s="22"/>
    </row>
    <row r="21" spans="1:34" s="20" customFormat="1" ht="33.75">
      <c r="A21" s="286"/>
      <c r="B21" s="293"/>
      <c r="C21" s="138" t="s">
        <v>192</v>
      </c>
      <c r="D21" s="294"/>
      <c r="E21" s="295"/>
      <c r="F21" s="295"/>
      <c r="G21" s="21"/>
      <c r="H21" s="17"/>
      <c r="I21" s="17"/>
      <c r="J21" s="17"/>
      <c r="K21" s="18">
        <f t="shared" si="2"/>
        <v>0</v>
      </c>
      <c r="L21" s="16"/>
      <c r="M21" s="16"/>
      <c r="N21" s="16"/>
      <c r="O21" s="16"/>
      <c r="P21" s="19"/>
      <c r="Q21" s="17"/>
      <c r="R21" s="19"/>
      <c r="S21" s="18">
        <f t="shared" si="0"/>
        <v>0</v>
      </c>
      <c r="T21" s="16"/>
      <c r="U21" s="40" t="str">
        <f t="shared" ca="1" si="1"/>
        <v xml:space="preserve"> </v>
      </c>
      <c r="V21" s="80" t="str">
        <f t="shared" ca="1" si="3"/>
        <v xml:space="preserve"> </v>
      </c>
      <c r="W21" s="91">
        <f t="shared" si="4"/>
        <v>0</v>
      </c>
      <c r="X21" s="91">
        <f t="shared" si="5"/>
        <v>0</v>
      </c>
      <c r="Y21" s="91">
        <f t="shared" si="6"/>
        <v>0</v>
      </c>
      <c r="AF21" s="22"/>
      <c r="AG21" s="22"/>
      <c r="AH21" s="22"/>
    </row>
    <row r="22" spans="1:34" s="20" customFormat="1" ht="30.75" customHeight="1">
      <c r="A22" s="286"/>
      <c r="B22" s="293"/>
      <c r="C22" s="138" t="s">
        <v>193</v>
      </c>
      <c r="D22" s="294"/>
      <c r="E22" s="295"/>
      <c r="F22" s="295"/>
      <c r="G22" s="21"/>
      <c r="H22" s="17"/>
      <c r="I22" s="17"/>
      <c r="J22" s="17"/>
      <c r="K22" s="18">
        <f t="shared" si="2"/>
        <v>0</v>
      </c>
      <c r="L22" s="16"/>
      <c r="M22" s="16"/>
      <c r="N22" s="16"/>
      <c r="O22" s="16"/>
      <c r="P22" s="19"/>
      <c r="Q22" s="17"/>
      <c r="R22" s="19"/>
      <c r="S22" s="18">
        <f t="shared" si="0"/>
        <v>0</v>
      </c>
      <c r="T22" s="16"/>
      <c r="U22" s="40" t="str">
        <f t="shared" ca="1" si="1"/>
        <v xml:space="preserve"> </v>
      </c>
      <c r="V22" s="80" t="str">
        <f t="shared" ca="1" si="3"/>
        <v xml:space="preserve"> </v>
      </c>
      <c r="W22" s="91">
        <f t="shared" si="4"/>
        <v>0</v>
      </c>
      <c r="X22" s="91">
        <f t="shared" si="5"/>
        <v>0</v>
      </c>
      <c r="Y22" s="91">
        <f t="shared" si="6"/>
        <v>0</v>
      </c>
      <c r="AF22" s="22"/>
      <c r="AG22" s="22"/>
      <c r="AH22" s="22"/>
    </row>
    <row r="23" spans="1:34" s="20" customFormat="1" ht="12.75">
      <c r="A23" s="25">
        <f t="shared" ref="A23:A48" si="7">A22+1</f>
        <v>1</v>
      </c>
      <c r="B23" s="16"/>
      <c r="C23" s="21"/>
      <c r="D23" s="21"/>
      <c r="E23" s="21"/>
      <c r="F23" s="21"/>
      <c r="G23" s="21"/>
      <c r="H23" s="17"/>
      <c r="I23" s="17"/>
      <c r="J23" s="17"/>
      <c r="K23" s="18">
        <f t="shared" si="2"/>
        <v>0</v>
      </c>
      <c r="L23" s="16"/>
      <c r="M23" s="16"/>
      <c r="N23" s="16"/>
      <c r="O23" s="16"/>
      <c r="P23" s="19"/>
      <c r="Q23" s="17"/>
      <c r="R23" s="19"/>
      <c r="S23" s="18">
        <f t="shared" si="0"/>
        <v>0</v>
      </c>
      <c r="T23" s="16"/>
      <c r="U23" s="40" t="str">
        <f t="shared" ca="1" si="1"/>
        <v xml:space="preserve"> </v>
      </c>
      <c r="V23" s="80" t="str">
        <f t="shared" ca="1" si="3"/>
        <v xml:space="preserve"> </v>
      </c>
      <c r="W23" s="91">
        <f t="shared" si="4"/>
        <v>0</v>
      </c>
      <c r="X23" s="91">
        <f t="shared" si="5"/>
        <v>0</v>
      </c>
      <c r="Y23" s="91">
        <f t="shared" si="6"/>
        <v>0</v>
      </c>
      <c r="AF23" s="22"/>
      <c r="AG23" s="22"/>
      <c r="AH23" s="22"/>
    </row>
    <row r="24" spans="1:34" s="20" customFormat="1" ht="12.75">
      <c r="A24" s="25">
        <f t="shared" si="7"/>
        <v>2</v>
      </c>
      <c r="B24" s="16"/>
      <c r="C24" s="16"/>
      <c r="D24" s="16"/>
      <c r="E24" s="16"/>
      <c r="F24" s="21"/>
      <c r="G24" s="21"/>
      <c r="H24" s="17"/>
      <c r="I24" s="17"/>
      <c r="J24" s="17"/>
      <c r="K24" s="18">
        <f t="shared" si="2"/>
        <v>0</v>
      </c>
      <c r="L24" s="16"/>
      <c r="M24" s="16"/>
      <c r="N24" s="16"/>
      <c r="O24" s="16"/>
      <c r="P24" s="19"/>
      <c r="Q24" s="17"/>
      <c r="R24" s="19"/>
      <c r="S24" s="18">
        <f t="shared" si="0"/>
        <v>0</v>
      </c>
      <c r="T24" s="16"/>
      <c r="U24" s="40" t="str">
        <f t="shared" ca="1" si="1"/>
        <v xml:space="preserve"> </v>
      </c>
      <c r="V24" s="80" t="str">
        <f t="shared" ca="1" si="3"/>
        <v xml:space="preserve"> </v>
      </c>
      <c r="W24" s="91">
        <f t="shared" si="4"/>
        <v>0</v>
      </c>
      <c r="X24" s="91">
        <f t="shared" si="5"/>
        <v>0</v>
      </c>
      <c r="Y24" s="91">
        <f t="shared" si="6"/>
        <v>0</v>
      </c>
    </row>
    <row r="25" spans="1:34" s="20" customFormat="1" ht="12.75">
      <c r="A25" s="25">
        <f t="shared" si="7"/>
        <v>3</v>
      </c>
      <c r="B25" s="16"/>
      <c r="C25" s="21"/>
      <c r="D25" s="21"/>
      <c r="E25" s="21"/>
      <c r="F25" s="21"/>
      <c r="G25" s="21"/>
      <c r="H25" s="17"/>
      <c r="I25" s="17"/>
      <c r="J25" s="17"/>
      <c r="K25" s="18">
        <f t="shared" si="2"/>
        <v>0</v>
      </c>
      <c r="L25" s="16"/>
      <c r="M25" s="16"/>
      <c r="N25" s="16"/>
      <c r="O25" s="16"/>
      <c r="P25" s="19"/>
      <c r="Q25" s="17"/>
      <c r="R25" s="19"/>
      <c r="S25" s="18">
        <f t="shared" si="0"/>
        <v>0</v>
      </c>
      <c r="T25" s="16"/>
      <c r="U25" s="40" t="str">
        <f t="shared" ca="1" si="1"/>
        <v xml:space="preserve"> </v>
      </c>
      <c r="V25" s="80" t="str">
        <f t="shared" ca="1" si="3"/>
        <v xml:space="preserve"> </v>
      </c>
      <c r="W25" s="91">
        <f t="shared" si="4"/>
        <v>0</v>
      </c>
      <c r="X25" s="91">
        <f t="shared" si="5"/>
        <v>0</v>
      </c>
      <c r="Y25" s="91">
        <f t="shared" si="6"/>
        <v>0</v>
      </c>
    </row>
    <row r="26" spans="1:34" s="20" customFormat="1" ht="12.75">
      <c r="A26" s="25">
        <f t="shared" si="7"/>
        <v>4</v>
      </c>
      <c r="B26" s="16"/>
      <c r="C26" s="16"/>
      <c r="D26" s="16"/>
      <c r="E26" s="16"/>
      <c r="F26" s="21"/>
      <c r="G26" s="21"/>
      <c r="H26" s="17"/>
      <c r="I26" s="17"/>
      <c r="J26" s="17"/>
      <c r="K26" s="18">
        <f t="shared" si="2"/>
        <v>0</v>
      </c>
      <c r="L26" s="16"/>
      <c r="M26" s="16"/>
      <c r="N26" s="16"/>
      <c r="O26" s="16"/>
      <c r="P26" s="19"/>
      <c r="Q26" s="17"/>
      <c r="R26" s="19"/>
      <c r="S26" s="18">
        <f t="shared" si="0"/>
        <v>0</v>
      </c>
      <c r="T26" s="16"/>
      <c r="U26" s="40" t="str">
        <f t="shared" ca="1" si="1"/>
        <v xml:space="preserve"> </v>
      </c>
      <c r="V26" s="80" t="str">
        <f t="shared" ca="1" si="3"/>
        <v xml:space="preserve"> </v>
      </c>
      <c r="W26" s="91">
        <f t="shared" si="4"/>
        <v>0</v>
      </c>
      <c r="X26" s="91">
        <f t="shared" si="5"/>
        <v>0</v>
      </c>
      <c r="Y26" s="91">
        <f t="shared" si="6"/>
        <v>0</v>
      </c>
    </row>
    <row r="27" spans="1:34" s="20" customFormat="1" ht="12.75">
      <c r="A27" s="25">
        <f t="shared" si="7"/>
        <v>5</v>
      </c>
      <c r="B27" s="16"/>
      <c r="C27" s="21"/>
      <c r="D27" s="21"/>
      <c r="E27" s="21"/>
      <c r="F27" s="21"/>
      <c r="G27" s="21"/>
      <c r="H27" s="17"/>
      <c r="I27" s="17"/>
      <c r="J27" s="17"/>
      <c r="K27" s="18">
        <f t="shared" si="2"/>
        <v>0</v>
      </c>
      <c r="L27" s="16"/>
      <c r="M27" s="16"/>
      <c r="N27" s="16"/>
      <c r="O27" s="16"/>
      <c r="P27" s="19"/>
      <c r="Q27" s="17"/>
      <c r="R27" s="19"/>
      <c r="S27" s="18">
        <f t="shared" si="0"/>
        <v>0</v>
      </c>
      <c r="T27" s="16"/>
      <c r="U27" s="40" t="str">
        <f t="shared" ca="1" si="1"/>
        <v xml:space="preserve"> </v>
      </c>
      <c r="V27" s="80" t="str">
        <f t="shared" ca="1" si="3"/>
        <v xml:space="preserve"> </v>
      </c>
      <c r="W27" s="91">
        <f t="shared" si="4"/>
        <v>0</v>
      </c>
      <c r="X27" s="91">
        <f t="shared" si="5"/>
        <v>0</v>
      </c>
      <c r="Y27" s="91">
        <f t="shared" si="6"/>
        <v>0</v>
      </c>
    </row>
    <row r="28" spans="1:34" s="20" customFormat="1" ht="12.75">
      <c r="A28" s="25">
        <f t="shared" si="7"/>
        <v>6</v>
      </c>
      <c r="B28" s="16"/>
      <c r="C28" s="16"/>
      <c r="D28" s="16"/>
      <c r="E28" s="16"/>
      <c r="F28" s="21"/>
      <c r="G28" s="21"/>
      <c r="H28" s="17"/>
      <c r="I28" s="17"/>
      <c r="J28" s="17"/>
      <c r="K28" s="18">
        <f t="shared" si="2"/>
        <v>0</v>
      </c>
      <c r="L28" s="16"/>
      <c r="M28" s="16"/>
      <c r="N28" s="16"/>
      <c r="O28" s="16"/>
      <c r="P28" s="19"/>
      <c r="Q28" s="17"/>
      <c r="R28" s="19"/>
      <c r="S28" s="18">
        <f t="shared" si="0"/>
        <v>0</v>
      </c>
      <c r="T28" s="16"/>
      <c r="U28" s="40" t="str">
        <f t="shared" ca="1" si="1"/>
        <v xml:space="preserve"> </v>
      </c>
      <c r="V28" s="80" t="str">
        <f t="shared" ca="1" si="3"/>
        <v xml:space="preserve"> </v>
      </c>
      <c r="W28" s="91">
        <f t="shared" si="4"/>
        <v>0</v>
      </c>
      <c r="X28" s="91">
        <f t="shared" si="5"/>
        <v>0</v>
      </c>
      <c r="Y28" s="91">
        <f t="shared" si="6"/>
        <v>0</v>
      </c>
    </row>
    <row r="29" spans="1:34" s="20" customFormat="1" ht="12.75">
      <c r="A29" s="25">
        <f t="shared" si="7"/>
        <v>7</v>
      </c>
      <c r="B29" s="16"/>
      <c r="C29" s="21"/>
      <c r="D29" s="21"/>
      <c r="E29" s="21"/>
      <c r="F29" s="21"/>
      <c r="G29" s="21"/>
      <c r="H29" s="17"/>
      <c r="I29" s="17"/>
      <c r="J29" s="17"/>
      <c r="K29" s="18">
        <f t="shared" si="2"/>
        <v>0</v>
      </c>
      <c r="L29" s="16"/>
      <c r="M29" s="16"/>
      <c r="N29" s="16"/>
      <c r="O29" s="16"/>
      <c r="P29" s="19"/>
      <c r="Q29" s="17"/>
      <c r="R29" s="19"/>
      <c r="S29" s="18">
        <f t="shared" si="0"/>
        <v>0</v>
      </c>
      <c r="T29" s="16"/>
      <c r="U29" s="40" t="str">
        <f t="shared" ca="1" si="1"/>
        <v xml:space="preserve"> </v>
      </c>
      <c r="V29" s="80" t="str">
        <f t="shared" ca="1" si="3"/>
        <v xml:space="preserve"> </v>
      </c>
      <c r="W29" s="91">
        <f t="shared" si="4"/>
        <v>0</v>
      </c>
      <c r="X29" s="91">
        <f t="shared" si="5"/>
        <v>0</v>
      </c>
      <c r="Y29" s="91">
        <f t="shared" si="6"/>
        <v>0</v>
      </c>
    </row>
    <row r="30" spans="1:34" s="20" customFormat="1" ht="12.75">
      <c r="A30" s="25">
        <f t="shared" si="7"/>
        <v>8</v>
      </c>
      <c r="B30" s="16"/>
      <c r="C30" s="16"/>
      <c r="D30" s="16"/>
      <c r="E30" s="16"/>
      <c r="F30" s="21"/>
      <c r="G30" s="21"/>
      <c r="H30" s="17"/>
      <c r="I30" s="17"/>
      <c r="J30" s="17"/>
      <c r="K30" s="18">
        <f t="shared" si="2"/>
        <v>0</v>
      </c>
      <c r="L30" s="16"/>
      <c r="M30" s="16"/>
      <c r="N30" s="16"/>
      <c r="O30" s="16"/>
      <c r="P30" s="19"/>
      <c r="Q30" s="17"/>
      <c r="R30" s="19"/>
      <c r="S30" s="18">
        <f t="shared" si="0"/>
        <v>0</v>
      </c>
      <c r="T30" s="16"/>
      <c r="U30" s="40" t="str">
        <f t="shared" ca="1" si="1"/>
        <v xml:space="preserve"> </v>
      </c>
      <c r="V30" s="80" t="str">
        <f t="shared" ca="1" si="3"/>
        <v xml:space="preserve"> </v>
      </c>
      <c r="W30" s="91">
        <f t="shared" si="4"/>
        <v>0</v>
      </c>
      <c r="X30" s="91">
        <f t="shared" si="5"/>
        <v>0</v>
      </c>
      <c r="Y30" s="91">
        <f t="shared" si="6"/>
        <v>0</v>
      </c>
    </row>
    <row r="31" spans="1:34" s="1" customFormat="1" ht="12.75">
      <c r="A31" s="25">
        <f t="shared" si="7"/>
        <v>9</v>
      </c>
      <c r="B31" s="16"/>
      <c r="C31" s="21"/>
      <c r="D31" s="21"/>
      <c r="E31" s="21"/>
      <c r="F31" s="21"/>
      <c r="G31" s="21"/>
      <c r="H31" s="17"/>
      <c r="I31" s="17"/>
      <c r="J31" s="17"/>
      <c r="K31" s="18">
        <f t="shared" si="2"/>
        <v>0</v>
      </c>
      <c r="L31" s="16"/>
      <c r="M31" s="16"/>
      <c r="N31" s="16"/>
      <c r="O31" s="16"/>
      <c r="P31" s="19"/>
      <c r="Q31" s="17"/>
      <c r="R31" s="19"/>
      <c r="S31" s="18">
        <f t="shared" si="0"/>
        <v>0</v>
      </c>
      <c r="T31" s="16"/>
      <c r="U31" s="40" t="str">
        <f t="shared" ca="1" si="1"/>
        <v xml:space="preserve"> </v>
      </c>
      <c r="V31" s="80" t="str">
        <f t="shared" ca="1" si="3"/>
        <v xml:space="preserve"> </v>
      </c>
      <c r="W31" s="91">
        <f t="shared" si="4"/>
        <v>0</v>
      </c>
      <c r="X31" s="91">
        <f t="shared" si="5"/>
        <v>0</v>
      </c>
      <c r="Y31" s="91">
        <f t="shared" si="6"/>
        <v>0</v>
      </c>
    </row>
    <row r="32" spans="1:34" s="1" customFormat="1" ht="12.75">
      <c r="A32" s="25">
        <f t="shared" si="7"/>
        <v>10</v>
      </c>
      <c r="B32" s="16"/>
      <c r="C32" s="16"/>
      <c r="D32" s="16"/>
      <c r="E32" s="16"/>
      <c r="F32" s="21"/>
      <c r="G32" s="21"/>
      <c r="H32" s="17"/>
      <c r="I32" s="17"/>
      <c r="J32" s="17"/>
      <c r="K32" s="18">
        <f t="shared" si="2"/>
        <v>0</v>
      </c>
      <c r="L32" s="16"/>
      <c r="M32" s="16"/>
      <c r="N32" s="16"/>
      <c r="O32" s="16"/>
      <c r="P32" s="19"/>
      <c r="Q32" s="17"/>
      <c r="R32" s="19"/>
      <c r="S32" s="18">
        <f t="shared" si="0"/>
        <v>0</v>
      </c>
      <c r="T32" s="16"/>
      <c r="U32" s="40" t="str">
        <f t="shared" ca="1" si="1"/>
        <v xml:space="preserve"> </v>
      </c>
      <c r="V32" s="80" t="str">
        <f t="shared" ca="1" si="3"/>
        <v xml:space="preserve"> </v>
      </c>
      <c r="W32" s="91">
        <f t="shared" si="4"/>
        <v>0</v>
      </c>
      <c r="X32" s="91">
        <f t="shared" si="5"/>
        <v>0</v>
      </c>
      <c r="Y32" s="91">
        <f t="shared" si="6"/>
        <v>0</v>
      </c>
    </row>
    <row r="33" spans="1:25" s="1" customFormat="1" ht="12.75">
      <c r="A33" s="25">
        <f t="shared" si="7"/>
        <v>11</v>
      </c>
      <c r="B33" s="16"/>
      <c r="C33" s="21"/>
      <c r="D33" s="21"/>
      <c r="E33" s="21"/>
      <c r="F33" s="21"/>
      <c r="G33" s="21"/>
      <c r="H33" s="17"/>
      <c r="I33" s="17"/>
      <c r="J33" s="17"/>
      <c r="K33" s="18">
        <f t="shared" si="2"/>
        <v>0</v>
      </c>
      <c r="L33" s="16"/>
      <c r="M33" s="16"/>
      <c r="N33" s="16"/>
      <c r="O33" s="16"/>
      <c r="P33" s="19"/>
      <c r="Q33" s="17"/>
      <c r="R33" s="19"/>
      <c r="S33" s="18">
        <f t="shared" si="0"/>
        <v>0</v>
      </c>
      <c r="T33" s="16"/>
      <c r="U33" s="40" t="str">
        <f t="shared" ca="1" si="1"/>
        <v xml:space="preserve"> </v>
      </c>
      <c r="V33" s="80" t="str">
        <f t="shared" ca="1" si="3"/>
        <v xml:space="preserve"> </v>
      </c>
      <c r="W33" s="91">
        <f t="shared" si="4"/>
        <v>0</v>
      </c>
      <c r="X33" s="91">
        <f t="shared" si="5"/>
        <v>0</v>
      </c>
      <c r="Y33" s="91">
        <f t="shared" si="6"/>
        <v>0</v>
      </c>
    </row>
    <row r="34" spans="1:25" s="1" customFormat="1" ht="12.75">
      <c r="A34" s="25">
        <f t="shared" si="7"/>
        <v>12</v>
      </c>
      <c r="B34" s="16"/>
      <c r="C34" s="16"/>
      <c r="D34" s="16"/>
      <c r="E34" s="16"/>
      <c r="F34" s="21"/>
      <c r="G34" s="21"/>
      <c r="H34" s="17"/>
      <c r="I34" s="17"/>
      <c r="J34" s="17"/>
      <c r="K34" s="18">
        <f t="shared" si="2"/>
        <v>0</v>
      </c>
      <c r="L34" s="16"/>
      <c r="M34" s="16"/>
      <c r="N34" s="16"/>
      <c r="O34" s="16"/>
      <c r="P34" s="19"/>
      <c r="Q34" s="17"/>
      <c r="R34" s="19"/>
      <c r="S34" s="18">
        <f t="shared" si="0"/>
        <v>0</v>
      </c>
      <c r="T34" s="16"/>
      <c r="U34" s="40" t="str">
        <f t="shared" ca="1" si="1"/>
        <v xml:space="preserve"> </v>
      </c>
      <c r="V34" s="80" t="str">
        <f t="shared" ca="1" si="3"/>
        <v xml:space="preserve"> </v>
      </c>
      <c r="W34" s="91">
        <f t="shared" si="4"/>
        <v>0</v>
      </c>
      <c r="X34" s="91">
        <f t="shared" si="5"/>
        <v>0</v>
      </c>
      <c r="Y34" s="91">
        <f t="shared" si="6"/>
        <v>0</v>
      </c>
    </row>
    <row r="35" spans="1:25" s="1" customFormat="1" ht="12.75">
      <c r="A35" s="25">
        <f t="shared" si="7"/>
        <v>13</v>
      </c>
      <c r="B35" s="16"/>
      <c r="C35" s="21"/>
      <c r="D35" s="21"/>
      <c r="E35" s="21"/>
      <c r="F35" s="21"/>
      <c r="G35" s="21"/>
      <c r="H35" s="17"/>
      <c r="I35" s="17"/>
      <c r="J35" s="17"/>
      <c r="K35" s="18">
        <f t="shared" si="2"/>
        <v>0</v>
      </c>
      <c r="L35" s="16"/>
      <c r="M35" s="16"/>
      <c r="N35" s="16"/>
      <c r="O35" s="16"/>
      <c r="P35" s="19"/>
      <c r="Q35" s="17"/>
      <c r="R35" s="19"/>
      <c r="S35" s="18">
        <f t="shared" si="0"/>
        <v>0</v>
      </c>
      <c r="T35" s="16"/>
      <c r="U35" s="40" t="str">
        <f t="shared" ca="1" si="1"/>
        <v xml:space="preserve"> </v>
      </c>
      <c r="V35" s="80" t="str">
        <f t="shared" ca="1" si="3"/>
        <v xml:space="preserve"> </v>
      </c>
      <c r="W35" s="91">
        <f t="shared" si="4"/>
        <v>0</v>
      </c>
      <c r="X35" s="91">
        <f t="shared" si="5"/>
        <v>0</v>
      </c>
      <c r="Y35" s="91">
        <f t="shared" si="6"/>
        <v>0</v>
      </c>
    </row>
    <row r="36" spans="1:25" s="1" customFormat="1" ht="12.75">
      <c r="A36" s="25">
        <f t="shared" si="7"/>
        <v>14</v>
      </c>
      <c r="B36" s="16"/>
      <c r="C36" s="16"/>
      <c r="D36" s="16"/>
      <c r="E36" s="16"/>
      <c r="F36" s="21"/>
      <c r="G36" s="21"/>
      <c r="H36" s="17"/>
      <c r="I36" s="17"/>
      <c r="J36" s="17"/>
      <c r="K36" s="18">
        <f t="shared" si="2"/>
        <v>0</v>
      </c>
      <c r="L36" s="16"/>
      <c r="M36" s="16"/>
      <c r="N36" s="16"/>
      <c r="O36" s="16"/>
      <c r="P36" s="19"/>
      <c r="Q36" s="17"/>
      <c r="R36" s="19"/>
      <c r="S36" s="18">
        <f t="shared" si="0"/>
        <v>0</v>
      </c>
      <c r="T36" s="16"/>
      <c r="U36" s="40" t="str">
        <f t="shared" ca="1" si="1"/>
        <v xml:space="preserve"> </v>
      </c>
      <c r="V36" s="80" t="str">
        <f t="shared" ca="1" si="3"/>
        <v xml:space="preserve"> </v>
      </c>
      <c r="W36" s="91">
        <f t="shared" si="4"/>
        <v>0</v>
      </c>
      <c r="X36" s="91">
        <f t="shared" si="5"/>
        <v>0</v>
      </c>
      <c r="Y36" s="91">
        <f t="shared" si="6"/>
        <v>0</v>
      </c>
    </row>
    <row r="37" spans="1:25" s="1" customFormat="1" ht="12.75">
      <c r="A37" s="25">
        <f t="shared" si="7"/>
        <v>15</v>
      </c>
      <c r="B37" s="16"/>
      <c r="C37" s="21"/>
      <c r="D37" s="21"/>
      <c r="E37" s="21"/>
      <c r="F37" s="21"/>
      <c r="G37" s="21"/>
      <c r="H37" s="17"/>
      <c r="I37" s="17"/>
      <c r="J37" s="17"/>
      <c r="K37" s="18">
        <f t="shared" si="2"/>
        <v>0</v>
      </c>
      <c r="L37" s="16"/>
      <c r="M37" s="16"/>
      <c r="N37" s="16"/>
      <c r="O37" s="16"/>
      <c r="P37" s="19"/>
      <c r="Q37" s="17"/>
      <c r="R37" s="19"/>
      <c r="S37" s="18">
        <f t="shared" si="0"/>
        <v>0</v>
      </c>
      <c r="T37" s="16"/>
      <c r="U37" s="40" t="str">
        <f t="shared" ca="1" si="1"/>
        <v xml:space="preserve"> </v>
      </c>
      <c r="V37" s="80" t="str">
        <f t="shared" ca="1" si="3"/>
        <v xml:space="preserve"> </v>
      </c>
      <c r="W37" s="91">
        <f t="shared" si="4"/>
        <v>0</v>
      </c>
      <c r="X37" s="91">
        <f t="shared" si="5"/>
        <v>0</v>
      </c>
      <c r="Y37" s="91">
        <f t="shared" si="6"/>
        <v>0</v>
      </c>
    </row>
    <row r="38" spans="1:25" s="1" customFormat="1" ht="12.75">
      <c r="A38" s="25">
        <f t="shared" si="7"/>
        <v>16</v>
      </c>
      <c r="B38" s="16"/>
      <c r="C38" s="16"/>
      <c r="D38" s="16"/>
      <c r="E38" s="16"/>
      <c r="F38" s="21"/>
      <c r="G38" s="21"/>
      <c r="H38" s="17"/>
      <c r="I38" s="17"/>
      <c r="J38" s="17"/>
      <c r="K38" s="18">
        <f t="shared" si="2"/>
        <v>0</v>
      </c>
      <c r="L38" s="16"/>
      <c r="M38" s="16"/>
      <c r="N38" s="16"/>
      <c r="O38" s="16"/>
      <c r="P38" s="19"/>
      <c r="Q38" s="17"/>
      <c r="R38" s="19"/>
      <c r="S38" s="18">
        <f t="shared" si="0"/>
        <v>0</v>
      </c>
      <c r="T38" s="16"/>
      <c r="U38" s="40" t="str">
        <f t="shared" ca="1" si="1"/>
        <v xml:space="preserve"> </v>
      </c>
      <c r="V38" s="80" t="str">
        <f t="shared" ca="1" si="3"/>
        <v xml:space="preserve"> </v>
      </c>
      <c r="W38" s="91">
        <f t="shared" si="4"/>
        <v>0</v>
      </c>
      <c r="X38" s="91">
        <f t="shared" si="5"/>
        <v>0</v>
      </c>
      <c r="Y38" s="91">
        <f t="shared" si="6"/>
        <v>0</v>
      </c>
    </row>
    <row r="39" spans="1:25" s="1" customFormat="1" ht="12.75">
      <c r="A39" s="25">
        <f t="shared" si="7"/>
        <v>17</v>
      </c>
      <c r="B39" s="16"/>
      <c r="C39" s="21"/>
      <c r="D39" s="21"/>
      <c r="E39" s="21"/>
      <c r="F39" s="21"/>
      <c r="G39" s="21"/>
      <c r="H39" s="17"/>
      <c r="I39" s="17"/>
      <c r="J39" s="17"/>
      <c r="K39" s="18">
        <f t="shared" si="2"/>
        <v>0</v>
      </c>
      <c r="L39" s="16"/>
      <c r="M39" s="16"/>
      <c r="N39" s="16"/>
      <c r="O39" s="16"/>
      <c r="P39" s="19"/>
      <c r="Q39" s="17"/>
      <c r="R39" s="19"/>
      <c r="S39" s="18">
        <f t="shared" si="0"/>
        <v>0</v>
      </c>
      <c r="T39" s="16"/>
      <c r="U39" s="40" t="str">
        <f t="shared" ca="1" si="1"/>
        <v xml:space="preserve"> </v>
      </c>
      <c r="V39" s="80" t="str">
        <f t="shared" ca="1" si="3"/>
        <v xml:space="preserve"> </v>
      </c>
      <c r="W39" s="91">
        <f t="shared" si="4"/>
        <v>0</v>
      </c>
      <c r="X39" s="91">
        <f t="shared" si="5"/>
        <v>0</v>
      </c>
      <c r="Y39" s="91">
        <f t="shared" si="6"/>
        <v>0</v>
      </c>
    </row>
    <row r="40" spans="1:25" s="1" customFormat="1" ht="12.75">
      <c r="A40" s="25">
        <f t="shared" si="7"/>
        <v>18</v>
      </c>
      <c r="B40" s="16"/>
      <c r="C40" s="16"/>
      <c r="D40" s="16"/>
      <c r="E40" s="16"/>
      <c r="F40" s="21"/>
      <c r="G40" s="21"/>
      <c r="H40" s="17"/>
      <c r="I40" s="17"/>
      <c r="J40" s="17"/>
      <c r="K40" s="18">
        <f t="shared" si="2"/>
        <v>0</v>
      </c>
      <c r="L40" s="16"/>
      <c r="M40" s="16"/>
      <c r="N40" s="16"/>
      <c r="O40" s="16"/>
      <c r="P40" s="19"/>
      <c r="Q40" s="17"/>
      <c r="R40" s="19"/>
      <c r="S40" s="18">
        <f t="shared" si="0"/>
        <v>0</v>
      </c>
      <c r="T40" s="16"/>
      <c r="U40" s="40" t="str">
        <f t="shared" ca="1" si="1"/>
        <v xml:space="preserve"> </v>
      </c>
      <c r="V40" s="80" t="str">
        <f t="shared" ca="1" si="3"/>
        <v xml:space="preserve"> </v>
      </c>
      <c r="W40" s="91">
        <f t="shared" si="4"/>
        <v>0</v>
      </c>
      <c r="X40" s="91">
        <f t="shared" si="5"/>
        <v>0</v>
      </c>
      <c r="Y40" s="91">
        <f t="shared" si="6"/>
        <v>0</v>
      </c>
    </row>
    <row r="41" spans="1:25" s="1" customFormat="1" ht="12.75">
      <c r="A41" s="25">
        <f t="shared" si="7"/>
        <v>19</v>
      </c>
      <c r="B41" s="16"/>
      <c r="C41" s="21"/>
      <c r="D41" s="21"/>
      <c r="E41" s="21"/>
      <c r="F41" s="21"/>
      <c r="G41" s="21"/>
      <c r="H41" s="17"/>
      <c r="I41" s="17"/>
      <c r="J41" s="17"/>
      <c r="K41" s="18">
        <f t="shared" si="2"/>
        <v>0</v>
      </c>
      <c r="L41" s="16"/>
      <c r="M41" s="16"/>
      <c r="N41" s="16"/>
      <c r="O41" s="16"/>
      <c r="P41" s="19"/>
      <c r="Q41" s="17"/>
      <c r="R41" s="19"/>
      <c r="S41" s="18">
        <f t="shared" si="0"/>
        <v>0</v>
      </c>
      <c r="T41" s="16"/>
      <c r="U41" s="40" t="str">
        <f t="shared" ca="1" si="1"/>
        <v xml:space="preserve"> </v>
      </c>
      <c r="V41" s="80" t="str">
        <f t="shared" ca="1" si="3"/>
        <v xml:space="preserve"> </v>
      </c>
      <c r="W41" s="91">
        <f t="shared" si="4"/>
        <v>0</v>
      </c>
      <c r="X41" s="91">
        <f t="shared" si="5"/>
        <v>0</v>
      </c>
      <c r="Y41" s="91">
        <f t="shared" si="6"/>
        <v>0</v>
      </c>
    </row>
    <row r="42" spans="1:25" s="1" customFormat="1" ht="12.75">
      <c r="A42" s="25">
        <f t="shared" si="7"/>
        <v>20</v>
      </c>
      <c r="B42" s="16"/>
      <c r="C42" s="16"/>
      <c r="D42" s="16"/>
      <c r="E42" s="16"/>
      <c r="F42" s="21"/>
      <c r="G42" s="21"/>
      <c r="H42" s="17"/>
      <c r="I42" s="17"/>
      <c r="J42" s="17"/>
      <c r="K42" s="18">
        <f t="shared" si="2"/>
        <v>0</v>
      </c>
      <c r="L42" s="16"/>
      <c r="M42" s="16"/>
      <c r="N42" s="16"/>
      <c r="O42" s="16"/>
      <c r="P42" s="19"/>
      <c r="Q42" s="17"/>
      <c r="R42" s="19"/>
      <c r="S42" s="18">
        <f t="shared" si="0"/>
        <v>0</v>
      </c>
      <c r="T42" s="16"/>
      <c r="U42" s="40" t="str">
        <f t="shared" ca="1" si="1"/>
        <v xml:space="preserve"> </v>
      </c>
      <c r="V42" s="80" t="str">
        <f t="shared" ca="1" si="3"/>
        <v xml:space="preserve"> </v>
      </c>
      <c r="W42" s="91">
        <f t="shared" si="4"/>
        <v>0</v>
      </c>
      <c r="X42" s="91">
        <f t="shared" si="5"/>
        <v>0</v>
      </c>
      <c r="Y42" s="91">
        <f t="shared" si="6"/>
        <v>0</v>
      </c>
    </row>
    <row r="43" spans="1:25" s="1" customFormat="1" ht="12.75">
      <c r="A43" s="25">
        <f t="shared" si="7"/>
        <v>21</v>
      </c>
      <c r="B43" s="16"/>
      <c r="C43" s="21"/>
      <c r="D43" s="21"/>
      <c r="E43" s="21"/>
      <c r="F43" s="21"/>
      <c r="G43" s="21"/>
      <c r="H43" s="17"/>
      <c r="I43" s="17"/>
      <c r="J43" s="17"/>
      <c r="K43" s="18">
        <f t="shared" si="2"/>
        <v>0</v>
      </c>
      <c r="L43" s="16"/>
      <c r="M43" s="16"/>
      <c r="N43" s="16"/>
      <c r="O43" s="16"/>
      <c r="P43" s="19"/>
      <c r="Q43" s="17"/>
      <c r="R43" s="19"/>
      <c r="S43" s="18">
        <f t="shared" si="0"/>
        <v>0</v>
      </c>
      <c r="T43" s="16"/>
      <c r="U43" s="40" t="str">
        <f t="shared" ca="1" si="1"/>
        <v xml:space="preserve"> </v>
      </c>
      <c r="V43" s="80" t="str">
        <f t="shared" ca="1" si="3"/>
        <v xml:space="preserve"> </v>
      </c>
      <c r="W43" s="91">
        <f t="shared" si="4"/>
        <v>0</v>
      </c>
      <c r="X43" s="91">
        <f t="shared" si="5"/>
        <v>0</v>
      </c>
      <c r="Y43" s="91">
        <f t="shared" si="6"/>
        <v>0</v>
      </c>
    </row>
    <row r="44" spans="1:25" s="1" customFormat="1" ht="12.75">
      <c r="A44" s="25">
        <f t="shared" si="7"/>
        <v>22</v>
      </c>
      <c r="B44" s="16"/>
      <c r="C44" s="16"/>
      <c r="D44" s="16"/>
      <c r="E44" s="16"/>
      <c r="F44" s="21"/>
      <c r="G44" s="21"/>
      <c r="H44" s="17"/>
      <c r="I44" s="17"/>
      <c r="J44" s="17"/>
      <c r="K44" s="18">
        <f t="shared" si="2"/>
        <v>0</v>
      </c>
      <c r="L44" s="16"/>
      <c r="M44" s="16"/>
      <c r="N44" s="16"/>
      <c r="O44" s="16"/>
      <c r="P44" s="19"/>
      <c r="Q44" s="17"/>
      <c r="R44" s="19"/>
      <c r="S44" s="18">
        <f t="shared" si="0"/>
        <v>0</v>
      </c>
      <c r="T44" s="16"/>
      <c r="U44" s="40" t="str">
        <f t="shared" ca="1" si="1"/>
        <v xml:space="preserve"> </v>
      </c>
      <c r="V44" s="80" t="str">
        <f t="shared" ca="1" si="3"/>
        <v xml:space="preserve"> </v>
      </c>
      <c r="W44" s="91">
        <f t="shared" si="4"/>
        <v>0</v>
      </c>
      <c r="X44" s="91">
        <f t="shared" si="5"/>
        <v>0</v>
      </c>
      <c r="Y44" s="91">
        <f t="shared" si="6"/>
        <v>0</v>
      </c>
    </row>
    <row r="45" spans="1:25" s="1" customFormat="1" ht="12.75">
      <c r="A45" s="25">
        <f t="shared" si="7"/>
        <v>23</v>
      </c>
      <c r="B45" s="16"/>
      <c r="C45" s="21"/>
      <c r="D45" s="21"/>
      <c r="E45" s="21"/>
      <c r="F45" s="21"/>
      <c r="G45" s="21"/>
      <c r="H45" s="17"/>
      <c r="I45" s="17"/>
      <c r="J45" s="17"/>
      <c r="K45" s="18">
        <f t="shared" si="2"/>
        <v>0</v>
      </c>
      <c r="L45" s="16"/>
      <c r="M45" s="16"/>
      <c r="N45" s="16"/>
      <c r="O45" s="16"/>
      <c r="P45" s="19"/>
      <c r="Q45" s="17"/>
      <c r="R45" s="19"/>
      <c r="S45" s="18">
        <f t="shared" si="0"/>
        <v>0</v>
      </c>
      <c r="T45" s="16"/>
      <c r="U45" s="40" t="str">
        <f t="shared" ca="1" si="1"/>
        <v xml:space="preserve"> </v>
      </c>
      <c r="V45" s="80" t="str">
        <f t="shared" ca="1" si="3"/>
        <v xml:space="preserve"> </v>
      </c>
      <c r="W45" s="91">
        <f t="shared" si="4"/>
        <v>0</v>
      </c>
      <c r="X45" s="91">
        <f t="shared" si="5"/>
        <v>0</v>
      </c>
      <c r="Y45" s="91">
        <f t="shared" si="6"/>
        <v>0</v>
      </c>
    </row>
    <row r="46" spans="1:25" s="1" customFormat="1" ht="12.75">
      <c r="A46" s="25">
        <f t="shared" si="7"/>
        <v>24</v>
      </c>
      <c r="B46" s="16"/>
      <c r="C46" s="16"/>
      <c r="D46" s="16"/>
      <c r="E46" s="16"/>
      <c r="F46" s="21"/>
      <c r="G46" s="21"/>
      <c r="H46" s="17"/>
      <c r="I46" s="17"/>
      <c r="J46" s="17"/>
      <c r="K46" s="18">
        <f t="shared" si="2"/>
        <v>0</v>
      </c>
      <c r="L46" s="16"/>
      <c r="M46" s="16"/>
      <c r="N46" s="16"/>
      <c r="O46" s="16"/>
      <c r="P46" s="19"/>
      <c r="Q46" s="17"/>
      <c r="R46" s="19"/>
      <c r="S46" s="18">
        <f t="shared" si="0"/>
        <v>0</v>
      </c>
      <c r="T46" s="16"/>
      <c r="U46" s="40" t="str">
        <f t="shared" ca="1" si="1"/>
        <v xml:space="preserve"> </v>
      </c>
      <c r="V46" s="80" t="str">
        <f t="shared" ca="1" si="3"/>
        <v xml:space="preserve"> </v>
      </c>
      <c r="W46" s="91">
        <f t="shared" si="4"/>
        <v>0</v>
      </c>
      <c r="X46" s="91">
        <f t="shared" si="5"/>
        <v>0</v>
      </c>
      <c r="Y46" s="91">
        <f t="shared" si="6"/>
        <v>0</v>
      </c>
    </row>
    <row r="47" spans="1:25" s="23" customFormat="1" ht="12.75">
      <c r="A47" s="25">
        <f t="shared" si="7"/>
        <v>25</v>
      </c>
      <c r="B47" s="16"/>
      <c r="C47" s="21"/>
      <c r="D47" s="21"/>
      <c r="E47" s="21"/>
      <c r="F47" s="21"/>
      <c r="G47" s="21"/>
      <c r="H47" s="17"/>
      <c r="I47" s="17"/>
      <c r="J47" s="17"/>
      <c r="K47" s="18">
        <f t="shared" si="2"/>
        <v>0</v>
      </c>
      <c r="L47" s="16"/>
      <c r="M47" s="16"/>
      <c r="N47" s="16"/>
      <c r="O47" s="16"/>
      <c r="P47" s="19"/>
      <c r="Q47" s="17"/>
      <c r="R47" s="19"/>
      <c r="S47" s="18">
        <f t="shared" si="0"/>
        <v>0</v>
      </c>
      <c r="T47" s="16"/>
      <c r="U47" s="40" t="str">
        <f t="shared" ca="1" si="1"/>
        <v xml:space="preserve"> </v>
      </c>
      <c r="V47" s="80" t="str">
        <f t="shared" ca="1" si="3"/>
        <v xml:space="preserve"> </v>
      </c>
      <c r="W47" s="91">
        <f t="shared" si="4"/>
        <v>0</v>
      </c>
      <c r="X47" s="91">
        <f t="shared" si="5"/>
        <v>0</v>
      </c>
      <c r="Y47" s="91">
        <f t="shared" si="6"/>
        <v>0</v>
      </c>
    </row>
    <row r="48" spans="1:25" s="23" customFormat="1" ht="12.75">
      <c r="A48" s="25">
        <f t="shared" si="7"/>
        <v>26</v>
      </c>
      <c r="B48" s="16"/>
      <c r="C48" s="16"/>
      <c r="D48" s="16"/>
      <c r="E48" s="16"/>
      <c r="F48" s="21"/>
      <c r="G48" s="21"/>
      <c r="H48" s="17"/>
      <c r="I48" s="17"/>
      <c r="J48" s="17"/>
      <c r="K48" s="18">
        <f t="shared" si="2"/>
        <v>0</v>
      </c>
      <c r="L48" s="16"/>
      <c r="M48" s="16"/>
      <c r="N48" s="16"/>
      <c r="O48" s="16"/>
      <c r="P48" s="19"/>
      <c r="Q48" s="17"/>
      <c r="R48" s="19"/>
      <c r="S48" s="18">
        <f t="shared" si="0"/>
        <v>0</v>
      </c>
      <c r="T48" s="16"/>
      <c r="U48" s="40" t="str">
        <f t="shared" ca="1" si="1"/>
        <v xml:space="preserve"> </v>
      </c>
      <c r="V48" s="80" t="str">
        <f t="shared" ca="1" si="3"/>
        <v xml:space="preserve"> </v>
      </c>
      <c r="W48" s="91">
        <f t="shared" si="4"/>
        <v>0</v>
      </c>
      <c r="X48" s="91">
        <f t="shared" si="5"/>
        <v>0</v>
      </c>
      <c r="Y48" s="91">
        <f t="shared" si="6"/>
        <v>0</v>
      </c>
    </row>
    <row r="49" spans="23:25" ht="15.95" customHeight="1">
      <c r="W49" s="87"/>
      <c r="X49" s="88"/>
      <c r="Y49" s="88"/>
    </row>
    <row r="50" spans="23:25" ht="15.95" customHeight="1">
      <c r="W50" s="87"/>
      <c r="X50" s="88"/>
      <c r="Y50" s="88"/>
    </row>
    <row r="51" spans="23:25" ht="15.95" customHeight="1">
      <c r="W51" s="87"/>
      <c r="X51" s="88"/>
      <c r="Y51" s="88"/>
    </row>
    <row r="52" spans="23:25" ht="15.95" customHeight="1">
      <c r="W52" s="87"/>
      <c r="X52" s="88"/>
      <c r="Y52" s="88"/>
    </row>
    <row r="53" spans="23:25" ht="15.95" customHeight="1">
      <c r="W53" s="87"/>
      <c r="X53" s="88"/>
      <c r="Y53" s="88"/>
    </row>
  </sheetData>
  <mergeCells count="41">
    <mergeCell ref="A16:A18"/>
    <mergeCell ref="B16:B18"/>
    <mergeCell ref="D16:D18"/>
    <mergeCell ref="F16:F18"/>
    <mergeCell ref="A19:A22"/>
    <mergeCell ref="B19:B22"/>
    <mergeCell ref="D19:D22"/>
    <mergeCell ref="E19:E22"/>
    <mergeCell ref="F19:F22"/>
    <mergeCell ref="A11:A15"/>
    <mergeCell ref="B11:B15"/>
    <mergeCell ref="D11:D15"/>
    <mergeCell ref="F11:F15"/>
    <mergeCell ref="A8:A10"/>
    <mergeCell ref="D8:D10"/>
    <mergeCell ref="B8:B10"/>
    <mergeCell ref="L6:O6"/>
    <mergeCell ref="S4:T4"/>
    <mergeCell ref="A6:B6"/>
    <mergeCell ref="H6:K6"/>
    <mergeCell ref="O4:R4"/>
    <mergeCell ref="S5:T5"/>
    <mergeCell ref="P6:S6"/>
    <mergeCell ref="F4:K4"/>
    <mergeCell ref="F5:K5"/>
    <mergeCell ref="L4:N4"/>
    <mergeCell ref="L5:N5"/>
    <mergeCell ref="A4:C4"/>
    <mergeCell ref="C6:G6"/>
    <mergeCell ref="T1:U1"/>
    <mergeCell ref="A5:C5"/>
    <mergeCell ref="O3:T3"/>
    <mergeCell ref="O2:T2"/>
    <mergeCell ref="O5:R5"/>
    <mergeCell ref="A3:C3"/>
    <mergeCell ref="F3:K3"/>
    <mergeCell ref="A1:O1"/>
    <mergeCell ref="A2:C2"/>
    <mergeCell ref="F2:K2"/>
    <mergeCell ref="P1:S1"/>
    <mergeCell ref="L2:N2"/>
  </mergeCells>
  <phoneticPr fontId="0" type="noConversion"/>
  <conditionalFormatting sqref="U5">
    <cfRule type="cellIs" dxfId="16" priority="1" stopIfTrue="1" operator="greaterThan">
      <formula>0</formula>
    </cfRule>
  </conditionalFormatting>
  <conditionalFormatting sqref="U6">
    <cfRule type="cellIs" dxfId="15" priority="2" stopIfTrue="1" operator="greaterThan">
      <formula>0</formula>
    </cfRule>
  </conditionalFormatting>
  <conditionalFormatting sqref="I8:I48 Q8:Q48">
    <cfRule type="cellIs" dxfId="14" priority="3" stopIfTrue="1" operator="between">
      <formula>7</formula>
      <formula>9</formula>
    </cfRule>
    <cfRule type="cellIs" dxfId="13" priority="4" stopIfTrue="1" operator="greaterThan">
      <formula>9</formula>
    </cfRule>
  </conditionalFormatting>
  <conditionalFormatting sqref="U8:U48">
    <cfRule type="cellIs" dxfId="12" priority="5" stopIfTrue="1" operator="equal">
      <formula>"R"</formula>
    </cfRule>
    <cfRule type="cellIs" dxfId="11" priority="6" stopIfTrue="1" operator="equal">
      <formula>"Y"</formula>
    </cfRule>
    <cfRule type="cellIs" dxfId="10" priority="7" stopIfTrue="1" operator="equal">
      <formula>"G"</formula>
    </cfRule>
  </conditionalFormatting>
  <conditionalFormatting sqref="U3">
    <cfRule type="cellIs" dxfId="9" priority="8" stopIfTrue="1" operator="greaterThan">
      <formula>0</formula>
    </cfRule>
  </conditionalFormatting>
  <conditionalFormatting sqref="U7:V7">
    <cfRule type="expression" priority="9" stopIfTrue="1">
      <formula>"if(Sum($S$2:$S$6)&gt;0;Status;"" "")"</formula>
    </cfRule>
  </conditionalFormatting>
  <conditionalFormatting sqref="K8:K48">
    <cfRule type="cellIs" dxfId="8" priority="10" stopIfTrue="1" operator="between">
      <formula>1</formula>
      <formula>36</formula>
    </cfRule>
    <cfRule type="cellIs" dxfId="7" priority="11" stopIfTrue="1" operator="between">
      <formula>37</formula>
      <formula>125</formula>
    </cfRule>
    <cfRule type="cellIs" dxfId="6" priority="12" stopIfTrue="1" operator="between">
      <formula>126</formula>
      <formula>1000</formula>
    </cfRule>
  </conditionalFormatting>
  <conditionalFormatting sqref="V8:V48">
    <cfRule type="cellIs" dxfId="5" priority="13" stopIfTrue="1" operator="equal">
      <formula>"R"</formula>
    </cfRule>
    <cfRule type="cellIs" dxfId="4" priority="14" stopIfTrue="1" operator="equal">
      <formula>"G"</formula>
    </cfRule>
  </conditionalFormatting>
  <conditionalFormatting sqref="V3">
    <cfRule type="cellIs" dxfId="3" priority="15" stopIfTrue="1" operator="greaterThan">
      <formula>0</formula>
    </cfRule>
  </conditionalFormatting>
  <conditionalFormatting sqref="S8:S48">
    <cfRule type="cellIs" dxfId="2" priority="16" stopIfTrue="1" operator="between">
      <formula>1</formula>
      <formula>36</formula>
    </cfRule>
    <cfRule type="cellIs" dxfId="1" priority="17" stopIfTrue="1" operator="between">
      <formula>36</formula>
      <formula>125</formula>
    </cfRule>
    <cfRule type="cellIs" dxfId="0" priority="18" stopIfTrue="1" operator="between">
      <formula>125</formula>
      <formula>1000</formula>
    </cfRule>
  </conditionalFormatting>
  <dataValidations count="6">
    <dataValidation type="whole" errorStyle="information" allowBlank="1" showInputMessage="1" showErrorMessage="1" errorTitle="Wrong number" error="Please eneter a whole number 1-10. E.g. 1, 3, 10" promptTitle="Probability of occurrence (Po)" prompt="1     Remote prob. of occurrence e.g. fool-proof design_x000a_2-3 Very low prob. of occurrence. No previous complaints_x000a_3-4 Low prob. of occurrence_x000a_6-7 Moderate prob. of occurrence_x000a_8-9 High prob. of occurrence_x000a_10  Very high prob. of occurrence" sqref="P18:P48">
      <formula1>1</formula1>
      <formula2>10</formula2>
    </dataValidation>
    <dataValidation type="whole" errorStyle="information" allowBlank="1" showInputMessage="1" showErrorMessage="1" errorTitle="Wrong number" error="Please enter a whole number 1-10. E.g. 1, 3, 10" promptTitle="Severity (S)" prompt="1 No risk for accid. or any effect on prod_x000a_2-3 No risk for accid. or insign. influ. on prod_x000a_4-6 Very low risk for accid. or risk for interrupt. prod. func._x000a_7-9 Risk for accid. under spec. cond. or lack of prod. func._x000a_10 Serious risk for personal injuries" sqref="I8:I48 Q8:Q48">
      <formula1>1</formula1>
      <formula2>10</formula2>
    </dataValidation>
    <dataValidation type="whole" errorStyle="information" allowBlank="1" showInputMessage="1" showErrorMessage="1" errorTitle="Wrong number" error="Please enter a whole number 1-10. E.g. 1, 3, 10" promptTitle="Probability of detection (Pd)" prompt="1    Failure which always will be detected_x000a_2-4 Relatively high probability of detection_x000a_5-7 Moderate probability of detection_x000a_8-9 Low probability of detection - alt. not included directly in test programme_x000a_10  Failure will not be found - cannot be tested" sqref="J8:J48 R8:R48">
      <formula1>1</formula1>
      <formula2>10</formula2>
    </dataValidation>
    <dataValidation type="whole" errorStyle="information" allowBlank="1" showInputMessage="1" showErrorMessage="1" errorTitle="Wrong number" error="Please eneter a whole number 1-10. E.g. 1, 3, 10" promptTitle="Probability of occurrence (Po)" prompt="1     Remote prob. of occur. e.g. fool-proof design.&lt;1/100 000_x000a_2-3 Very low prob. of occur. No previous complaints.&lt;1/10 000_x000a_4-5 Low prob. of occur.&lt;1/1000_x000a_6-7 Moderate prob. of occur.&lt;1/100_x000a_8-9 High prob. of occur.&lt;1/10_x000a_10  Very high prob. of occur.&lt;1/1" sqref="P8:P17 H8:H48">
      <formula1>1</formula1>
      <formula2>10</formula2>
    </dataValidation>
    <dataValidation allowBlank="1" showInputMessage="1" showErrorMessage="1" prompt="Not performing any action?_x000a_Please type_x000a_No action" sqref="M8:M48"/>
    <dataValidation allowBlank="1" showErrorMessage="1" sqref="N8:N48"/>
  </dataValidations>
  <printOptions horizontalCentered="1" gridLinesSet="0"/>
  <pageMargins left="0.39370078740157483" right="0.39370078740157483" top="0.39370078740157483" bottom="0.39370078740157483" header="0.19685039370078741" footer="0.19685039370078741"/>
  <pageSetup paperSize="9" scale="85" fitToHeight="18" orientation="landscape" useFirstPageNumber="1" horizontalDpi="4294967292" verticalDpi="4294967292" r:id="rId1"/>
  <headerFooter alignWithMargins="0">
    <oddHeader xml:space="preserve">&amp;C &amp;R&amp;8Phoenix reg.no.:&amp;"Geneva,Regular"&amp;10
</oddHeader>
    <oddFooter>&amp;L&amp;8Print date: &amp;D&amp;C&amp;"Arial,Normal"&amp;8&amp;P (&amp;N)&amp;R&amp;"Arial,Normal"&amp;8&amp;F</oddFooter>
  </headerFooter>
  <rowBreaks count="1" manualBreakCount="1">
    <brk id="7" max="17" man="1"/>
  </rowBreaks>
  <colBreaks count="1" manualBreakCount="1">
    <brk id="20"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1068" r:id="rId4" name="Button 44">
              <controlPr defaultSize="0" print="0" autoFill="0" autoLine="0" autoPict="0" macro="[0]!Radantal">
                <anchor moveWithCells="1" sizeWithCells="1">
                  <from>
                    <xdr:col>0</xdr:col>
                    <xdr:colOff>19050</xdr:colOff>
                    <xdr:row>0</xdr:row>
                    <xdr:rowOff>9525</xdr:rowOff>
                  </from>
                  <to>
                    <xdr:col>2</xdr:col>
                    <xdr:colOff>228600</xdr:colOff>
                    <xdr:row>0</xdr:row>
                    <xdr:rowOff>361950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pageSetUpPr fitToPage="1"/>
  </sheetPr>
  <dimension ref="A1:O24"/>
  <sheetViews>
    <sheetView showGridLines="0" workbookViewId="0">
      <pane ySplit="1" topLeftCell="A2" activePane="bottomLeft" state="frozen"/>
      <selection pane="bottomLeft" activeCell="I21" sqref="I21:O21"/>
    </sheetView>
  </sheetViews>
  <sheetFormatPr defaultRowHeight="12.75"/>
  <cols>
    <col min="1" max="16384" width="9.140625" style="22"/>
  </cols>
  <sheetData>
    <row r="1" spans="1:15" ht="33" customHeight="1">
      <c r="A1" s="297" t="s">
        <v>25</v>
      </c>
      <c r="B1" s="298"/>
      <c r="C1" s="298"/>
      <c r="D1" s="298"/>
      <c r="E1" s="298"/>
      <c r="F1" s="298"/>
      <c r="G1" s="298"/>
      <c r="H1" s="298"/>
      <c r="I1" s="298"/>
      <c r="J1" s="298"/>
      <c r="K1" s="298"/>
      <c r="L1" s="298"/>
      <c r="M1" s="298"/>
      <c r="N1" s="298"/>
      <c r="O1" s="298"/>
    </row>
    <row r="2" spans="1:15">
      <c r="A2" s="299" t="s">
        <v>2</v>
      </c>
      <c r="B2" s="299"/>
      <c r="C2" s="299"/>
      <c r="D2" s="299"/>
      <c r="E2" s="299"/>
      <c r="F2" s="299"/>
      <c r="G2" s="299"/>
      <c r="H2" s="299"/>
      <c r="I2" s="300"/>
      <c r="J2" s="300"/>
      <c r="K2" s="300"/>
      <c r="L2" s="300"/>
      <c r="M2" s="300"/>
      <c r="N2" s="300"/>
      <c r="O2" s="300"/>
    </row>
    <row r="3" spans="1:15">
      <c r="A3" s="296"/>
      <c r="B3" s="296"/>
      <c r="C3" s="296"/>
      <c r="D3" s="296"/>
      <c r="E3" s="296"/>
      <c r="F3" s="296"/>
      <c r="G3" s="296"/>
      <c r="H3" s="296"/>
      <c r="I3" s="296"/>
      <c r="J3" s="296"/>
      <c r="K3" s="296"/>
      <c r="L3" s="296"/>
      <c r="M3" s="296"/>
      <c r="N3" s="296"/>
      <c r="O3" s="296"/>
    </row>
    <row r="4" spans="1:15">
      <c r="A4" s="296"/>
      <c r="B4" s="296"/>
      <c r="C4" s="296"/>
      <c r="D4" s="296"/>
      <c r="E4" s="296"/>
      <c r="F4" s="296"/>
      <c r="G4" s="296"/>
      <c r="H4" s="296"/>
      <c r="I4" s="296"/>
      <c r="J4" s="296"/>
      <c r="K4" s="296"/>
      <c r="L4" s="296"/>
      <c r="M4" s="296"/>
      <c r="N4" s="296"/>
      <c r="O4" s="296"/>
    </row>
    <row r="5" spans="1:15">
      <c r="A5" s="296"/>
      <c r="B5" s="296"/>
      <c r="C5" s="296"/>
      <c r="D5" s="296"/>
      <c r="E5" s="296"/>
      <c r="F5" s="296"/>
      <c r="G5" s="296"/>
      <c r="H5" s="296"/>
      <c r="I5" s="296"/>
      <c r="J5" s="296"/>
      <c r="K5" s="296"/>
      <c r="L5" s="296"/>
      <c r="M5" s="296"/>
      <c r="N5" s="296"/>
      <c r="O5" s="296"/>
    </row>
    <row r="6" spans="1:15">
      <c r="A6" s="296"/>
      <c r="B6" s="296"/>
      <c r="C6" s="296"/>
      <c r="D6" s="296"/>
      <c r="E6" s="296"/>
      <c r="F6" s="296"/>
      <c r="G6" s="296"/>
      <c r="H6" s="296"/>
      <c r="I6" s="296"/>
      <c r="J6" s="296"/>
      <c r="K6" s="296"/>
      <c r="L6" s="296"/>
      <c r="M6" s="296"/>
      <c r="N6" s="296"/>
      <c r="O6" s="296"/>
    </row>
    <row r="7" spans="1:15">
      <c r="A7" s="296"/>
      <c r="B7" s="296"/>
      <c r="C7" s="296"/>
      <c r="D7" s="296"/>
      <c r="E7" s="296"/>
      <c r="F7" s="296"/>
      <c r="G7" s="296"/>
      <c r="H7" s="296"/>
      <c r="I7" s="296"/>
      <c r="J7" s="296"/>
      <c r="K7" s="296"/>
      <c r="L7" s="296"/>
      <c r="M7" s="296"/>
      <c r="N7" s="296"/>
      <c r="O7" s="296"/>
    </row>
    <row r="8" spans="1:15">
      <c r="A8" s="296"/>
      <c r="B8" s="296"/>
      <c r="C8" s="296"/>
      <c r="D8" s="296"/>
      <c r="E8" s="296"/>
      <c r="F8" s="296"/>
      <c r="G8" s="296"/>
      <c r="H8" s="296"/>
      <c r="I8" s="296"/>
      <c r="J8" s="296"/>
      <c r="K8" s="296"/>
      <c r="L8" s="296"/>
      <c r="M8" s="296"/>
      <c r="N8" s="296"/>
      <c r="O8" s="296"/>
    </row>
    <row r="9" spans="1:15">
      <c r="A9" s="296"/>
      <c r="B9" s="296"/>
      <c r="C9" s="296"/>
      <c r="D9" s="296"/>
      <c r="E9" s="296"/>
      <c r="F9" s="296"/>
      <c r="G9" s="296"/>
      <c r="H9" s="296"/>
      <c r="I9" s="296"/>
      <c r="J9" s="296"/>
      <c r="K9" s="296"/>
      <c r="L9" s="296"/>
      <c r="M9" s="296"/>
      <c r="N9" s="296"/>
      <c r="O9" s="296"/>
    </row>
    <row r="10" spans="1:15">
      <c r="A10" s="24"/>
      <c r="B10" s="24"/>
      <c r="C10" s="24"/>
      <c r="D10" s="24"/>
      <c r="E10" s="24"/>
      <c r="F10" s="24"/>
      <c r="G10" s="24"/>
      <c r="H10" s="24"/>
      <c r="I10" s="24"/>
      <c r="J10" s="24"/>
      <c r="K10" s="24"/>
      <c r="L10" s="24"/>
      <c r="M10" s="24"/>
      <c r="N10" s="24"/>
      <c r="O10" s="24"/>
    </row>
    <row r="11" spans="1:15">
      <c r="A11" s="24"/>
      <c r="B11" s="24"/>
      <c r="C11" s="24"/>
      <c r="D11" s="24"/>
      <c r="E11" s="24"/>
      <c r="F11" s="24"/>
      <c r="G11" s="24"/>
      <c r="H11" s="24"/>
      <c r="I11" s="24"/>
      <c r="J11" s="24"/>
      <c r="K11" s="24"/>
      <c r="L11" s="24"/>
      <c r="M11" s="24"/>
      <c r="N11" s="24"/>
      <c r="O11" s="24"/>
    </row>
    <row r="12" spans="1:15">
      <c r="A12" s="24"/>
      <c r="B12" s="24"/>
      <c r="C12" s="24"/>
      <c r="D12" s="24"/>
      <c r="E12" s="24"/>
      <c r="F12" s="24"/>
      <c r="G12" s="24"/>
      <c r="H12" s="24"/>
      <c r="I12" s="24"/>
      <c r="J12" s="24"/>
      <c r="K12" s="24"/>
      <c r="L12" s="24"/>
      <c r="M12" s="24"/>
      <c r="N12" s="24"/>
      <c r="O12" s="24"/>
    </row>
    <row r="13" spans="1:15">
      <c r="A13" s="24"/>
      <c r="B13" s="24"/>
      <c r="C13" s="24"/>
      <c r="D13" s="24"/>
      <c r="E13" s="24"/>
      <c r="F13" s="24"/>
      <c r="G13" s="24"/>
      <c r="H13" s="24"/>
      <c r="I13" s="24"/>
      <c r="J13" s="24"/>
      <c r="K13" s="24"/>
      <c r="L13" s="24"/>
      <c r="M13" s="24"/>
      <c r="N13" s="24"/>
      <c r="O13" s="24"/>
    </row>
    <row r="14" spans="1:15">
      <c r="A14" s="299" t="s">
        <v>3</v>
      </c>
      <c r="B14" s="299"/>
      <c r="C14" s="299"/>
      <c r="D14" s="299"/>
      <c r="E14" s="299"/>
      <c r="F14" s="299"/>
      <c r="G14" s="299"/>
      <c r="H14" s="299"/>
    </row>
    <row r="15" spans="1:15">
      <c r="A15" s="296"/>
      <c r="B15" s="296"/>
      <c r="C15" s="296"/>
      <c r="D15" s="296"/>
      <c r="E15" s="296"/>
      <c r="F15" s="296"/>
      <c r="G15" s="296"/>
      <c r="H15" s="296"/>
      <c r="I15" s="296"/>
      <c r="J15" s="296"/>
      <c r="K15" s="296"/>
      <c r="L15" s="296"/>
      <c r="M15" s="296"/>
      <c r="N15" s="296"/>
      <c r="O15" s="296"/>
    </row>
    <row r="16" spans="1:15">
      <c r="A16" s="296"/>
      <c r="B16" s="296"/>
      <c r="C16" s="296"/>
      <c r="D16" s="296"/>
      <c r="E16" s="296"/>
      <c r="F16" s="296"/>
      <c r="G16" s="296"/>
      <c r="H16" s="296"/>
      <c r="I16" s="296"/>
      <c r="J16" s="296"/>
      <c r="K16" s="296"/>
      <c r="L16" s="296"/>
      <c r="M16" s="296"/>
      <c r="N16" s="296"/>
      <c r="O16" s="296"/>
    </row>
    <row r="17" spans="1:15">
      <c r="A17" s="296"/>
      <c r="B17" s="296"/>
      <c r="C17" s="296"/>
      <c r="D17" s="296"/>
      <c r="E17" s="296"/>
      <c r="F17" s="296"/>
      <c r="G17" s="296"/>
      <c r="H17" s="296"/>
      <c r="I17" s="296"/>
      <c r="J17" s="296"/>
      <c r="K17" s="296"/>
      <c r="L17" s="296"/>
      <c r="M17" s="296"/>
      <c r="N17" s="296"/>
      <c r="O17" s="296"/>
    </row>
    <row r="18" spans="1:15">
      <c r="A18" s="296"/>
      <c r="B18" s="296"/>
      <c r="C18" s="296"/>
      <c r="D18" s="296"/>
      <c r="E18" s="296"/>
      <c r="F18" s="296"/>
      <c r="G18" s="296"/>
      <c r="H18" s="296"/>
      <c r="I18" s="296"/>
      <c r="J18" s="296"/>
      <c r="K18" s="296"/>
      <c r="L18" s="296"/>
      <c r="M18" s="296"/>
      <c r="N18" s="296"/>
      <c r="O18" s="296"/>
    </row>
    <row r="19" spans="1:15">
      <c r="A19" s="296"/>
      <c r="B19" s="296"/>
      <c r="C19" s="296"/>
      <c r="D19" s="296"/>
      <c r="E19" s="296"/>
      <c r="F19" s="296"/>
      <c r="G19" s="296"/>
      <c r="H19" s="296"/>
      <c r="I19" s="296"/>
      <c r="J19" s="296"/>
      <c r="K19" s="296"/>
      <c r="L19" s="296"/>
      <c r="M19" s="296"/>
      <c r="N19" s="296"/>
      <c r="O19" s="296"/>
    </row>
    <row r="20" spans="1:15">
      <c r="A20" s="296"/>
      <c r="B20" s="296"/>
      <c r="C20" s="296"/>
      <c r="D20" s="296"/>
      <c r="E20" s="296"/>
      <c r="F20" s="296"/>
      <c r="G20" s="296"/>
      <c r="H20" s="296"/>
      <c r="I20" s="296"/>
      <c r="J20" s="296"/>
      <c r="K20" s="296"/>
      <c r="L20" s="296"/>
      <c r="M20" s="296"/>
      <c r="N20" s="296"/>
      <c r="O20" s="296"/>
    </row>
    <row r="21" spans="1:15">
      <c r="A21" s="296"/>
      <c r="B21" s="296"/>
      <c r="C21" s="296"/>
      <c r="D21" s="296"/>
      <c r="E21" s="296"/>
      <c r="F21" s="296"/>
      <c r="G21" s="296"/>
      <c r="H21" s="296"/>
      <c r="I21" s="296"/>
      <c r="J21" s="296"/>
      <c r="K21" s="296"/>
      <c r="L21" s="296"/>
      <c r="M21" s="296"/>
      <c r="N21" s="296"/>
      <c r="O21" s="296"/>
    </row>
    <row r="22" spans="1:15">
      <c r="A22" s="296"/>
      <c r="B22" s="296"/>
      <c r="C22" s="296"/>
      <c r="D22" s="296"/>
      <c r="E22" s="296"/>
      <c r="F22" s="296"/>
      <c r="G22" s="296"/>
      <c r="H22" s="296"/>
      <c r="I22" s="296"/>
      <c r="J22" s="296"/>
      <c r="K22" s="296"/>
      <c r="L22" s="296"/>
      <c r="M22" s="296"/>
      <c r="N22" s="296"/>
      <c r="O22" s="296"/>
    </row>
    <row r="23" spans="1:15">
      <c r="A23" s="296"/>
      <c r="B23" s="296"/>
      <c r="C23" s="296"/>
      <c r="D23" s="296"/>
      <c r="E23" s="296"/>
      <c r="F23" s="296"/>
      <c r="G23" s="296"/>
      <c r="H23" s="296"/>
      <c r="I23" s="296"/>
      <c r="J23" s="296"/>
      <c r="K23" s="296"/>
      <c r="L23" s="296"/>
      <c r="M23" s="296"/>
      <c r="N23" s="296"/>
      <c r="O23" s="296"/>
    </row>
    <row r="24" spans="1:15">
      <c r="A24" s="296"/>
      <c r="B24" s="296"/>
      <c r="C24" s="296"/>
      <c r="D24" s="296"/>
      <c r="E24" s="296"/>
      <c r="F24" s="296"/>
      <c r="G24" s="296"/>
      <c r="H24" s="296"/>
      <c r="I24" s="296"/>
      <c r="J24" s="296"/>
      <c r="K24" s="296"/>
      <c r="L24" s="296"/>
      <c r="M24" s="296"/>
      <c r="N24" s="296"/>
      <c r="O24" s="296"/>
    </row>
  </sheetData>
  <mergeCells count="38">
    <mergeCell ref="A1:O1"/>
    <mergeCell ref="A2:H2"/>
    <mergeCell ref="I2:O2"/>
    <mergeCell ref="I3:O3"/>
    <mergeCell ref="A14:H14"/>
    <mergeCell ref="A3:H3"/>
    <mergeCell ref="A4:H4"/>
    <mergeCell ref="A5:H5"/>
    <mergeCell ref="A6:H6"/>
    <mergeCell ref="A7:H7"/>
    <mergeCell ref="A8:H8"/>
    <mergeCell ref="A9:H9"/>
    <mergeCell ref="I8:O8"/>
    <mergeCell ref="I9:O9"/>
    <mergeCell ref="I4:O4"/>
    <mergeCell ref="I5:O5"/>
    <mergeCell ref="A15:H15"/>
    <mergeCell ref="I24:O24"/>
    <mergeCell ref="I17:O17"/>
    <mergeCell ref="I18:O18"/>
    <mergeCell ref="I19:O19"/>
    <mergeCell ref="I20:O20"/>
    <mergeCell ref="A24:H24"/>
    <mergeCell ref="A19:H19"/>
    <mergeCell ref="A20:H20"/>
    <mergeCell ref="A21:H21"/>
    <mergeCell ref="A22:H22"/>
    <mergeCell ref="A17:H17"/>
    <mergeCell ref="A18:H18"/>
    <mergeCell ref="A23:H23"/>
    <mergeCell ref="A16:H16"/>
    <mergeCell ref="I15:O15"/>
    <mergeCell ref="I6:O6"/>
    <mergeCell ref="I7:O7"/>
    <mergeCell ref="I23:O23"/>
    <mergeCell ref="I16:O16"/>
    <mergeCell ref="I21:O21"/>
    <mergeCell ref="I22:O22"/>
  </mergeCells>
  <phoneticPr fontId="0" type="noConversion"/>
  <printOptions horizontalCentered="1" verticalCentered="1"/>
  <pageMargins left="0.39370078740157483" right="0.39370078740157483" top="0.39370078740157483" bottom="0.39370078740157483" header="0.19685039370078741" footer="0.19685039370078741"/>
  <pageSetup paperSize="9" fitToHeight="8" orientation="landscape" verticalDpi="0" r:id="rId1"/>
  <headerFooter alignWithMargins="0">
    <oddHeader xml:space="preserve">&amp;C&amp;A&amp;R&amp;8PARK reg.no.: </oddHeader>
    <oddFooter>&amp;LPrint date: &amp;D&amp;C&amp;8&amp;P (&amp;N)&amp;R&amp;8&amp;F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5122" r:id="rId4" name="Button 2">
              <controlPr defaultSize="0" print="0" autoFill="0" autoLine="0" autoPict="0" macro="[0]!Datalines">
                <anchor moveWithCells="1" sizeWithCells="1">
                  <from>
                    <xdr:col>0</xdr:col>
                    <xdr:colOff>76200</xdr:colOff>
                    <xdr:row>0</xdr:row>
                    <xdr:rowOff>47625</xdr:rowOff>
                  </from>
                  <to>
                    <xdr:col>2</xdr:col>
                    <xdr:colOff>161925</xdr:colOff>
                    <xdr:row>0</xdr:row>
                    <xdr:rowOff>400050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C1:AK9"/>
  <sheetViews>
    <sheetView showGridLines="0" showRowColHeaders="0" showZeros="0" topLeftCell="A4" workbookViewId="0">
      <selection activeCell="Q5" sqref="Q5"/>
    </sheetView>
  </sheetViews>
  <sheetFormatPr defaultRowHeight="12.75"/>
  <cols>
    <col min="16" max="16" width="9.5703125" customWidth="1"/>
  </cols>
  <sheetData>
    <row r="1" spans="29:37" ht="24">
      <c r="AC1" s="38" t="s">
        <v>7</v>
      </c>
      <c r="AD1" s="1"/>
      <c r="AE1" s="37" t="s">
        <v>27</v>
      </c>
      <c r="AF1" s="2"/>
      <c r="AG1" s="2"/>
      <c r="AH1" s="2"/>
      <c r="AI1" s="2"/>
      <c r="AJ1" s="2"/>
      <c r="AK1" s="2"/>
    </row>
    <row r="2" spans="29:37">
      <c r="AC2" s="3"/>
      <c r="AD2" s="29" t="s">
        <v>1</v>
      </c>
      <c r="AE2" s="3"/>
      <c r="AF2" s="3"/>
      <c r="AG2" s="3"/>
      <c r="AH2" s="3"/>
      <c r="AI2" s="3"/>
      <c r="AJ2" s="3"/>
      <c r="AK2" s="3"/>
    </row>
    <row r="3" spans="29:37">
      <c r="AC3" s="3"/>
      <c r="AD3" s="30" t="s">
        <v>8</v>
      </c>
      <c r="AE3" s="31" t="s">
        <v>11</v>
      </c>
      <c r="AF3" s="31" t="s">
        <v>12</v>
      </c>
      <c r="AG3" s="32" t="s">
        <v>13</v>
      </c>
      <c r="AH3" s="32" t="s">
        <v>14</v>
      </c>
      <c r="AI3" s="32" t="s">
        <v>15</v>
      </c>
      <c r="AJ3" s="32" t="s">
        <v>16</v>
      </c>
      <c r="AK3" s="29" t="s">
        <v>21</v>
      </c>
    </row>
    <row r="4" spans="29:37">
      <c r="AC4" s="39" t="s">
        <v>9</v>
      </c>
      <c r="AD4" s="30">
        <f>COUNTIF(_RPN1,"&gt;0")-COUNTIF(_RPN1,"&gt;=36")</f>
        <v>0</v>
      </c>
      <c r="AE4" s="31">
        <f>COUNTIF(_RPN1,"&gt;36")-COUNTIF(_RPN1,"&gt;=65")</f>
        <v>0</v>
      </c>
      <c r="AF4" s="31">
        <f>COUNTIF(_RPN1,"&gt;64")-COUNTIF(_RPN1,"&gt;=126")</f>
        <v>0</v>
      </c>
      <c r="AG4" s="32">
        <f>COUNTIF(_RPN1,"&gt;125")-COUNTIF(_RPN1,"&gt;=251")</f>
        <v>0</v>
      </c>
      <c r="AH4" s="32">
        <f>COUNTIF(_RPN1,"&gt;250")-COUNTIF(_RPN1,"&gt;=501")</f>
        <v>0</v>
      </c>
      <c r="AI4" s="32">
        <f>COUNTIF(_RPN1,"&gt;500")-COUNTIF(_RPN1,"&gt;=751")</f>
        <v>0</v>
      </c>
      <c r="AJ4" s="32">
        <f>COUNTIF(_RPN1,"&gt;750")-COUNTIF(_RPN1,"&gt;=2501")</f>
        <v>0</v>
      </c>
      <c r="AK4" s="7">
        <f>SUM(AD4:AJ4)</f>
        <v>0</v>
      </c>
    </row>
    <row r="5" spans="29:37">
      <c r="AC5" s="64" t="s">
        <v>10</v>
      </c>
      <c r="AD5" s="65">
        <f>COUNTIF(_RPN2,"&gt;0")-COUNTIF(_RPN2,"&gt;=36")</f>
        <v>0</v>
      </c>
      <c r="AE5" s="66">
        <f>COUNTIF(_RPN2,"&gt;36")-COUNTIF(_RPN2,"&gt;=65")</f>
        <v>0</v>
      </c>
      <c r="AF5" s="66">
        <f>COUNTIF(_RPN2,"&gt;64")-COUNTIF(_RPN2,"&gt;=126")</f>
        <v>0</v>
      </c>
      <c r="AG5" s="67">
        <f>COUNTIF(_RPN2,"&gt;125")-COUNTIF(_RPN2,"&gt;=251")</f>
        <v>0</v>
      </c>
      <c r="AH5" s="67">
        <f>COUNTIF(_RPN2,"&gt;250")-COUNTIF(_RPN2,"&gt;=501")</f>
        <v>0</v>
      </c>
      <c r="AI5" s="67">
        <f>COUNTIF(_RPN2,"&gt;500")-COUNTIF(_RPN2,"&gt;=751")</f>
        <v>0</v>
      </c>
      <c r="AJ5" s="67">
        <f>COUNTIF(_RPN2,"&gt;750")-COUNTIF(_RPN2,"&gt;=2501")</f>
        <v>0</v>
      </c>
      <c r="AK5" s="7">
        <f>SUM(AD5:AJ5)</f>
        <v>0</v>
      </c>
    </row>
    <row r="6" spans="29:37">
      <c r="AC6" s="36"/>
      <c r="AD6" s="29" t="s">
        <v>20</v>
      </c>
      <c r="AE6" s="7"/>
      <c r="AF6" s="7"/>
      <c r="AG6" s="7"/>
      <c r="AH6" s="301" t="s">
        <v>26</v>
      </c>
      <c r="AI6" s="301"/>
      <c r="AJ6" s="302"/>
      <c r="AK6" s="2"/>
    </row>
    <row r="7" spans="29:37">
      <c r="AC7" s="36"/>
      <c r="AD7" s="33" t="s">
        <v>17</v>
      </c>
      <c r="AE7" s="34" t="s">
        <v>18</v>
      </c>
      <c r="AF7" s="35" t="s">
        <v>19</v>
      </c>
      <c r="AG7" s="8" t="s">
        <v>21</v>
      </c>
      <c r="AH7" s="9" t="s">
        <v>22</v>
      </c>
      <c r="AI7" s="26">
        <v>1</v>
      </c>
      <c r="AJ7" s="26">
        <v>36</v>
      </c>
      <c r="AK7" s="10"/>
    </row>
    <row r="8" spans="29:37">
      <c r="AC8" s="39" t="s">
        <v>9</v>
      </c>
      <c r="AD8" s="30">
        <f>COUNTIF(_sev1,"&gt;0")-COUNTIF(_sev1,"&gt;3")</f>
        <v>0</v>
      </c>
      <c r="AE8" s="31">
        <f>COUNTIF(_sev1,"&gt;3")-COUNTIF(_sev1,"&gt;6")</f>
        <v>0</v>
      </c>
      <c r="AF8" s="32">
        <f>COUNTIF(_sev1,"&gt;6")-COUNTIF(_sev1,"&gt;10")</f>
        <v>0</v>
      </c>
      <c r="AG8" s="7">
        <f>SUM(AD8:AF8)</f>
        <v>0</v>
      </c>
      <c r="AH8" s="11" t="s">
        <v>23</v>
      </c>
      <c r="AI8" s="27">
        <v>37</v>
      </c>
      <c r="AJ8" s="27">
        <v>125</v>
      </c>
      <c r="AK8" s="2"/>
    </row>
    <row r="9" spans="29:37">
      <c r="AC9" s="64" t="s">
        <v>10</v>
      </c>
      <c r="AD9" s="65">
        <f>COUNTIF(_sev2,"&gt;0")-COUNTIF(_sev2,"&gt;3")</f>
        <v>0</v>
      </c>
      <c r="AE9" s="66">
        <f>COUNTIF(_sev2,"&gt;3")-COUNTIF(_sev2,"&gt;6")</f>
        <v>0</v>
      </c>
      <c r="AF9" s="67">
        <f>COUNTIF(_sev2,"&gt;6")-COUNTIF(_sev2,"&gt;10")</f>
        <v>0</v>
      </c>
      <c r="AG9" s="7">
        <f>SUM(AD9:AF9)</f>
        <v>0</v>
      </c>
      <c r="AH9" s="15" t="s">
        <v>24</v>
      </c>
      <c r="AI9" s="28">
        <v>126</v>
      </c>
      <c r="AJ9" s="28">
        <v>1000</v>
      </c>
      <c r="AK9" s="14"/>
    </row>
  </sheetData>
  <mergeCells count="1">
    <mergeCell ref="AH6:AJ6"/>
  </mergeCells>
  <phoneticPr fontId="7" type="noConversion"/>
  <printOptions horizontalCentered="1" verticalCentered="1"/>
  <pageMargins left="0.19685039370078741" right="0.19685039370078741" top="0.39370078740157483" bottom="0.39370078740157483" header="0.19685039370078741" footer="0.19685039370078741"/>
  <pageSetup paperSize="9" scale="95" orientation="landscape" verticalDpi="0" r:id="rId1"/>
  <headerFooter alignWithMargins="0">
    <oddHeader>&amp;L&amp;8Ragnar Drake, 26522&amp;R&amp;8Phoenix Reg.no:</oddHeader>
    <oddFooter>&amp;L&amp;8Print date: &amp;D&amp;C&amp;8&amp;P(&amp;N)&amp;R&amp;8&amp;F</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7171" r:id="rId4" name="Button 3">
              <controlPr defaultSize="0" print="0" autoFill="0" autoPict="0" macro="[0]!GoToFMEA">
                <anchor moveWithCells="1">
                  <from>
                    <xdr:col>30</xdr:col>
                    <xdr:colOff>171450</xdr:colOff>
                    <xdr:row>0</xdr:row>
                    <xdr:rowOff>304800</xdr:rowOff>
                  </from>
                  <to>
                    <xdr:col>32</xdr:col>
                    <xdr:colOff>485775</xdr:colOff>
                    <xdr:row>1</xdr:row>
                    <xdr:rowOff>152400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4"/>
  <sheetViews>
    <sheetView workbookViewId="0">
      <selection activeCell="F36" sqref="F36"/>
    </sheetView>
  </sheetViews>
  <sheetFormatPr defaultRowHeight="12.75"/>
  <cols>
    <col min="10" max="14" width="9.140625" customWidth="1"/>
    <col min="15" max="15" width="17.5703125" customWidth="1"/>
  </cols>
  <sheetData>
    <row r="1" spans="1:15" ht="27.75" customHeight="1">
      <c r="A1" s="303" t="s">
        <v>91</v>
      </c>
      <c r="B1" s="303"/>
      <c r="C1" s="303"/>
      <c r="D1" s="303"/>
      <c r="E1" s="303"/>
      <c r="F1" s="303"/>
      <c r="G1" s="303"/>
      <c r="H1" s="303"/>
      <c r="I1" s="303"/>
      <c r="J1" s="303"/>
      <c r="K1" s="303"/>
      <c r="L1" s="303"/>
      <c r="M1" s="303"/>
      <c r="N1" s="303"/>
      <c r="O1" s="303"/>
    </row>
    <row r="2" spans="1:15">
      <c r="A2" s="93"/>
      <c r="B2" s="93"/>
      <c r="C2" s="93"/>
      <c r="D2" s="93"/>
      <c r="E2" s="93"/>
      <c r="F2" s="93"/>
      <c r="G2" s="94"/>
      <c r="H2" s="93"/>
      <c r="I2" s="93"/>
      <c r="J2" s="93"/>
      <c r="K2" s="93"/>
      <c r="L2" s="93"/>
      <c r="M2" s="93"/>
      <c r="N2" s="95" t="s">
        <v>92</v>
      </c>
      <c r="O2" s="93"/>
    </row>
    <row r="3" spans="1:15">
      <c r="A3" s="96" t="s">
        <v>93</v>
      </c>
      <c r="B3" s="97"/>
      <c r="C3" s="97"/>
      <c r="D3" s="98"/>
      <c r="E3" s="96" t="s">
        <v>94</v>
      </c>
      <c r="F3" s="97"/>
      <c r="G3" s="99"/>
      <c r="H3" s="97"/>
      <c r="I3" s="97"/>
      <c r="J3" s="97"/>
      <c r="K3" s="96" t="s">
        <v>95</v>
      </c>
      <c r="L3" s="97"/>
      <c r="M3" s="97"/>
      <c r="N3" s="96" t="s">
        <v>96</v>
      </c>
      <c r="O3" s="98"/>
    </row>
    <row r="4" spans="1:15">
      <c r="A4" s="100" t="s">
        <v>97</v>
      </c>
      <c r="B4" s="101"/>
      <c r="C4" s="101"/>
      <c r="D4" s="101"/>
      <c r="E4" s="100" t="s">
        <v>98</v>
      </c>
      <c r="F4" s="101"/>
      <c r="G4" s="102"/>
      <c r="H4" s="101"/>
      <c r="I4" s="101"/>
      <c r="J4" s="101"/>
      <c r="K4" s="103" t="s">
        <v>99</v>
      </c>
      <c r="L4" s="101"/>
      <c r="M4" s="101"/>
      <c r="N4" s="103" t="s">
        <v>100</v>
      </c>
      <c r="O4" s="104"/>
    </row>
    <row r="5" spans="1:15">
      <c r="A5" s="105">
        <v>1</v>
      </c>
      <c r="B5" s="106"/>
      <c r="C5" s="106"/>
      <c r="D5" s="107"/>
      <c r="E5" s="108" t="s">
        <v>101</v>
      </c>
      <c r="F5" s="106"/>
      <c r="G5" s="109"/>
      <c r="H5" s="109"/>
      <c r="I5" s="109"/>
      <c r="J5" s="110"/>
      <c r="K5" s="304"/>
      <c r="L5" s="304"/>
      <c r="M5" s="130"/>
      <c r="N5" s="111"/>
      <c r="O5" s="110"/>
    </row>
    <row r="6" spans="1:15">
      <c r="A6" s="96" t="s">
        <v>102</v>
      </c>
      <c r="B6" s="97"/>
      <c r="C6" s="97"/>
      <c r="D6" s="98"/>
      <c r="E6" s="96" t="s">
        <v>103</v>
      </c>
      <c r="F6" s="97"/>
      <c r="G6" s="99"/>
      <c r="H6" s="97"/>
      <c r="I6" s="97"/>
      <c r="J6" s="98"/>
      <c r="K6" s="96" t="s">
        <v>104</v>
      </c>
      <c r="L6" s="97"/>
      <c r="M6" s="97"/>
      <c r="N6" s="97"/>
      <c r="O6" s="98"/>
    </row>
    <row r="7" spans="1:15">
      <c r="A7" s="103" t="s">
        <v>105</v>
      </c>
      <c r="B7" s="101"/>
      <c r="C7" s="101"/>
      <c r="D7" s="101"/>
      <c r="E7" s="103" t="s">
        <v>106</v>
      </c>
      <c r="F7" s="101"/>
      <c r="G7" s="102"/>
      <c r="H7" s="101"/>
      <c r="I7" s="101"/>
      <c r="J7" s="101"/>
      <c r="K7" s="103" t="s">
        <v>107</v>
      </c>
      <c r="L7" s="101"/>
      <c r="M7" s="101"/>
      <c r="N7" s="101"/>
      <c r="O7" s="104"/>
    </row>
    <row r="8" spans="1:15">
      <c r="A8" s="112" t="s">
        <v>108</v>
      </c>
      <c r="B8" s="113"/>
      <c r="C8" s="106"/>
      <c r="D8" s="114"/>
      <c r="E8" s="108"/>
      <c r="F8" s="106"/>
      <c r="G8" s="109"/>
      <c r="H8" s="106"/>
      <c r="I8" s="106"/>
      <c r="J8" s="107"/>
      <c r="K8" s="115"/>
      <c r="L8" s="109"/>
      <c r="M8" s="109"/>
      <c r="N8" s="109"/>
      <c r="O8" s="110"/>
    </row>
    <row r="9" spans="1:15">
      <c r="A9" s="116" t="s">
        <v>109</v>
      </c>
      <c r="B9" s="97"/>
      <c r="C9" s="97"/>
      <c r="D9" s="98"/>
      <c r="E9" s="96" t="s">
        <v>110</v>
      </c>
      <c r="F9" s="97"/>
      <c r="G9" s="99"/>
      <c r="H9" s="97"/>
      <c r="I9" s="97"/>
      <c r="J9" s="98"/>
      <c r="K9" s="96" t="s">
        <v>111</v>
      </c>
      <c r="L9" s="97"/>
      <c r="M9" s="97"/>
      <c r="N9" s="97"/>
      <c r="O9" s="98"/>
    </row>
    <row r="10" spans="1:15">
      <c r="A10" s="103" t="s">
        <v>112</v>
      </c>
      <c r="B10" s="101"/>
      <c r="C10" s="101"/>
      <c r="D10" s="101"/>
      <c r="E10" s="103" t="s">
        <v>113</v>
      </c>
      <c r="F10" s="101"/>
      <c r="G10" s="102"/>
      <c r="H10" s="101"/>
      <c r="I10" s="101"/>
      <c r="J10" s="101"/>
      <c r="K10" s="103" t="s">
        <v>114</v>
      </c>
      <c r="L10" s="101"/>
      <c r="M10" s="101"/>
      <c r="N10" s="101"/>
      <c r="O10" s="104"/>
    </row>
    <row r="11" spans="1:15">
      <c r="A11" s="117"/>
      <c r="B11" s="106"/>
      <c r="C11" s="106"/>
      <c r="D11" s="107"/>
      <c r="E11" s="118"/>
      <c r="F11" s="119"/>
      <c r="G11" s="109"/>
      <c r="H11" s="106"/>
      <c r="I11" s="106"/>
      <c r="J11" s="107"/>
      <c r="K11" s="115"/>
      <c r="L11" s="109"/>
      <c r="M11" s="109"/>
      <c r="N11" s="109"/>
      <c r="O11" s="110"/>
    </row>
    <row r="12" spans="1:15">
      <c r="A12" s="311" t="s">
        <v>115</v>
      </c>
      <c r="B12" s="312"/>
      <c r="C12" s="312"/>
      <c r="D12" s="313"/>
      <c r="E12" s="116" t="s">
        <v>116</v>
      </c>
      <c r="F12" s="97"/>
      <c r="G12" s="99"/>
      <c r="H12" s="116" t="s">
        <v>117</v>
      </c>
      <c r="I12" s="97"/>
      <c r="J12" s="98"/>
      <c r="K12" s="96" t="s">
        <v>117</v>
      </c>
      <c r="L12" s="97"/>
      <c r="M12" s="97"/>
      <c r="N12" s="97"/>
      <c r="O12" s="98"/>
    </row>
    <row r="13" spans="1:15">
      <c r="A13" s="314" t="s">
        <v>118</v>
      </c>
      <c r="B13" s="315"/>
      <c r="C13" s="315"/>
      <c r="D13" s="316"/>
      <c r="E13" s="103" t="s">
        <v>119</v>
      </c>
      <c r="F13" s="101"/>
      <c r="G13" s="102"/>
      <c r="H13" s="103" t="s">
        <v>120</v>
      </c>
      <c r="I13" s="101"/>
      <c r="J13" s="101"/>
      <c r="K13" s="103" t="s">
        <v>120</v>
      </c>
      <c r="L13" s="101"/>
      <c r="M13" s="101"/>
      <c r="N13" s="101"/>
      <c r="O13" s="104"/>
    </row>
    <row r="14" spans="1:15">
      <c r="A14" s="317"/>
      <c r="B14" s="318"/>
      <c r="C14" s="318"/>
      <c r="D14" s="319"/>
      <c r="E14" s="121"/>
      <c r="F14" s="119"/>
      <c r="G14" s="109"/>
      <c r="H14" s="118"/>
      <c r="I14" s="106"/>
      <c r="J14" s="107"/>
      <c r="K14" s="115"/>
      <c r="L14" s="109"/>
      <c r="M14" s="109"/>
      <c r="N14" s="109"/>
      <c r="O14" s="110"/>
    </row>
    <row r="15" spans="1:15">
      <c r="A15" s="120"/>
      <c r="B15" s="106"/>
      <c r="C15" s="121"/>
      <c r="D15" s="110"/>
      <c r="E15" s="118"/>
      <c r="F15" s="119"/>
      <c r="G15" s="109"/>
      <c r="H15" s="106"/>
      <c r="I15" s="106"/>
      <c r="J15" s="107"/>
      <c r="K15" s="122" t="s">
        <v>121</v>
      </c>
      <c r="L15" s="109"/>
      <c r="M15" s="109"/>
      <c r="N15" s="109"/>
      <c r="O15" s="110"/>
    </row>
    <row r="16" spans="1:15">
      <c r="A16" s="305" t="s">
        <v>122</v>
      </c>
      <c r="B16" s="306" t="s">
        <v>123</v>
      </c>
      <c r="C16" s="305" t="s">
        <v>124</v>
      </c>
      <c r="D16" s="307" t="s">
        <v>125</v>
      </c>
      <c r="E16" s="307"/>
      <c r="F16" s="307"/>
      <c r="G16" s="307" t="s">
        <v>126</v>
      </c>
      <c r="H16" s="305" t="s">
        <v>127</v>
      </c>
      <c r="I16" s="307" t="s">
        <v>128</v>
      </c>
      <c r="J16" s="307"/>
      <c r="K16" s="307"/>
      <c r="L16" s="307"/>
      <c r="M16" s="307"/>
      <c r="N16" s="307"/>
      <c r="O16" s="305" t="s">
        <v>129</v>
      </c>
    </row>
    <row r="17" spans="1:15">
      <c r="A17" s="305"/>
      <c r="B17" s="306"/>
      <c r="C17" s="305"/>
      <c r="D17" s="307"/>
      <c r="E17" s="307"/>
      <c r="F17" s="307"/>
      <c r="G17" s="307"/>
      <c r="H17" s="305"/>
      <c r="I17" s="307"/>
      <c r="J17" s="307"/>
      <c r="K17" s="307"/>
      <c r="L17" s="307"/>
      <c r="M17" s="307"/>
      <c r="N17" s="307"/>
      <c r="O17" s="305"/>
    </row>
    <row r="18" spans="1:15" ht="13.5" customHeight="1">
      <c r="A18" s="305"/>
      <c r="B18" s="306"/>
      <c r="C18" s="305"/>
      <c r="D18" s="308" t="s">
        <v>130</v>
      </c>
      <c r="E18" s="308" t="s">
        <v>131</v>
      </c>
      <c r="F18" s="320" t="s">
        <v>132</v>
      </c>
      <c r="G18" s="307"/>
      <c r="H18" s="305"/>
      <c r="I18" s="305" t="s">
        <v>133</v>
      </c>
      <c r="J18" s="305" t="s">
        <v>134</v>
      </c>
      <c r="K18" s="321" t="s">
        <v>135</v>
      </c>
      <c r="L18" s="321"/>
      <c r="M18" s="123"/>
      <c r="N18" s="305" t="s">
        <v>136</v>
      </c>
      <c r="O18" s="305"/>
    </row>
    <row r="19" spans="1:15" ht="21.75" customHeight="1">
      <c r="A19" s="305"/>
      <c r="B19" s="306"/>
      <c r="C19" s="305"/>
      <c r="D19" s="308"/>
      <c r="E19" s="308"/>
      <c r="F19" s="320"/>
      <c r="G19" s="308"/>
      <c r="H19" s="305"/>
      <c r="I19" s="305"/>
      <c r="J19" s="305"/>
      <c r="K19" s="308" t="s">
        <v>137</v>
      </c>
      <c r="L19" s="308" t="s">
        <v>138</v>
      </c>
      <c r="M19" s="309" t="s">
        <v>139</v>
      </c>
      <c r="N19" s="305"/>
      <c r="O19" s="305"/>
    </row>
    <row r="20" spans="1:15" ht="18" customHeight="1">
      <c r="A20" s="305"/>
      <c r="B20" s="306"/>
      <c r="C20" s="305"/>
      <c r="D20" s="308"/>
      <c r="E20" s="308"/>
      <c r="F20" s="320"/>
      <c r="G20" s="308"/>
      <c r="H20" s="305"/>
      <c r="I20" s="305"/>
      <c r="J20" s="305"/>
      <c r="K20" s="308"/>
      <c r="L20" s="308"/>
      <c r="M20" s="310"/>
      <c r="N20" s="308"/>
      <c r="O20" s="305"/>
    </row>
    <row r="21" spans="1:15">
      <c r="A21" s="124"/>
      <c r="B21" s="125"/>
      <c r="C21" s="125"/>
      <c r="D21" s="126"/>
      <c r="E21" s="125"/>
      <c r="F21" s="126"/>
      <c r="G21" s="126"/>
      <c r="H21" s="126"/>
      <c r="I21" s="125"/>
      <c r="J21" s="126"/>
      <c r="K21" s="127"/>
      <c r="L21" s="127"/>
      <c r="M21" s="126"/>
      <c r="N21" s="126"/>
      <c r="O21" s="125"/>
    </row>
    <row r="22" spans="1:15">
      <c r="A22" s="124"/>
      <c r="B22" s="125"/>
      <c r="C22" s="125"/>
      <c r="D22" s="126"/>
      <c r="E22" s="125"/>
      <c r="F22" s="126"/>
      <c r="G22" s="126"/>
      <c r="H22" s="126"/>
      <c r="I22" s="128"/>
      <c r="J22" s="126"/>
      <c r="K22" s="127"/>
      <c r="L22" s="127"/>
      <c r="M22" s="126"/>
      <c r="N22" s="126"/>
      <c r="O22" s="125"/>
    </row>
    <row r="23" spans="1:15">
      <c r="A23" s="129"/>
      <c r="B23" s="125"/>
      <c r="C23" s="125"/>
      <c r="D23" s="126"/>
      <c r="E23" s="125"/>
      <c r="F23" s="126"/>
      <c r="G23" s="126"/>
      <c r="H23" s="126"/>
      <c r="I23" s="125"/>
      <c r="J23" s="126"/>
      <c r="K23" s="126"/>
      <c r="L23" s="126"/>
      <c r="M23" s="126"/>
      <c r="N23" s="126"/>
      <c r="O23" s="125"/>
    </row>
    <row r="24" spans="1:15">
      <c r="A24" s="129"/>
      <c r="B24" s="125"/>
      <c r="C24" s="125"/>
      <c r="D24" s="126"/>
      <c r="E24" s="125"/>
      <c r="F24" s="126"/>
      <c r="G24" s="126"/>
      <c r="H24" s="126"/>
      <c r="I24" s="125"/>
      <c r="J24" s="126"/>
      <c r="K24" s="126"/>
      <c r="L24" s="126"/>
      <c r="M24" s="126"/>
      <c r="N24" s="126"/>
      <c r="O24" s="125"/>
    </row>
    <row r="25" spans="1:15">
      <c r="A25" s="129"/>
      <c r="B25" s="125"/>
      <c r="C25" s="125"/>
      <c r="D25" s="126"/>
      <c r="E25" s="125"/>
      <c r="F25" s="126"/>
      <c r="G25" s="126"/>
      <c r="H25" s="126"/>
      <c r="I25" s="125"/>
      <c r="J25" s="126"/>
      <c r="K25" s="126"/>
      <c r="L25" s="126"/>
      <c r="M25" s="126"/>
      <c r="N25" s="126"/>
      <c r="O25" s="125"/>
    </row>
    <row r="26" spans="1:15">
      <c r="A26" s="124"/>
      <c r="B26" s="125"/>
      <c r="C26" s="125"/>
      <c r="D26" s="126"/>
      <c r="E26" s="125"/>
      <c r="F26" s="126"/>
      <c r="G26" s="126"/>
      <c r="H26" s="126"/>
      <c r="I26" s="125"/>
      <c r="J26" s="126"/>
      <c r="K26" s="127"/>
      <c r="L26" s="126"/>
      <c r="M26" s="126"/>
      <c r="N26" s="126"/>
      <c r="O26" s="125"/>
    </row>
    <row r="27" spans="1:15">
      <c r="A27" s="124"/>
      <c r="B27" s="125"/>
      <c r="C27" s="125"/>
      <c r="D27" s="126"/>
      <c r="E27" s="125"/>
      <c r="F27" s="125"/>
      <c r="G27" s="126"/>
      <c r="H27" s="125"/>
      <c r="I27" s="125"/>
      <c r="J27" s="126"/>
      <c r="K27" s="127"/>
      <c r="L27" s="126"/>
      <c r="M27" s="126"/>
      <c r="N27" s="126"/>
      <c r="O27" s="125"/>
    </row>
    <row r="28" spans="1:15">
      <c r="A28" s="124"/>
      <c r="B28" s="125"/>
      <c r="C28" s="125"/>
      <c r="D28" s="126"/>
      <c r="E28" s="125"/>
      <c r="F28" s="125"/>
      <c r="G28" s="126"/>
      <c r="H28" s="125"/>
      <c r="I28" s="125"/>
      <c r="J28" s="126"/>
      <c r="K28" s="127"/>
      <c r="L28" s="126"/>
      <c r="M28" s="126"/>
      <c r="N28" s="126"/>
      <c r="O28" s="125"/>
    </row>
    <row r="29" spans="1:15">
      <c r="A29" s="124"/>
      <c r="B29" s="125"/>
      <c r="C29" s="125"/>
      <c r="D29" s="126"/>
      <c r="E29" s="125"/>
      <c r="F29" s="125"/>
      <c r="G29" s="126"/>
      <c r="H29" s="125"/>
      <c r="I29" s="125"/>
      <c r="J29" s="126"/>
      <c r="K29" s="127"/>
      <c r="L29" s="126"/>
      <c r="M29" s="126"/>
      <c r="N29" s="126"/>
      <c r="O29" s="125"/>
    </row>
    <row r="30" spans="1:15">
      <c r="A30" s="124"/>
      <c r="B30" s="125"/>
      <c r="C30" s="125"/>
      <c r="D30" s="126"/>
      <c r="E30" s="125"/>
      <c r="F30" s="125"/>
      <c r="G30" s="126"/>
      <c r="H30" s="125"/>
      <c r="I30" s="125"/>
      <c r="J30" s="126"/>
      <c r="K30" s="127"/>
      <c r="L30" s="126"/>
      <c r="M30" s="126"/>
      <c r="N30" s="126"/>
      <c r="O30" s="125"/>
    </row>
    <row r="31" spans="1:15">
      <c r="A31" s="124"/>
      <c r="B31" s="125"/>
      <c r="C31" s="125"/>
      <c r="D31" s="126"/>
      <c r="E31" s="125"/>
      <c r="F31" s="125"/>
      <c r="G31" s="126"/>
      <c r="H31" s="125"/>
      <c r="I31" s="125"/>
      <c r="J31" s="126"/>
      <c r="K31" s="127"/>
      <c r="L31" s="126"/>
      <c r="M31" s="126"/>
      <c r="N31" s="126"/>
      <c r="O31" s="125"/>
    </row>
    <row r="32" spans="1:15">
      <c r="A32" s="124"/>
      <c r="B32" s="125"/>
      <c r="C32" s="125"/>
      <c r="D32" s="126"/>
      <c r="E32" s="125"/>
      <c r="F32" s="125"/>
      <c r="G32" s="126"/>
      <c r="H32" s="125"/>
      <c r="I32" s="125"/>
      <c r="J32" s="126"/>
      <c r="K32" s="127"/>
      <c r="L32" s="126"/>
      <c r="M32" s="126"/>
      <c r="N32" s="126"/>
      <c r="O32" s="125"/>
    </row>
    <row r="33" spans="1:15">
      <c r="A33" s="124"/>
      <c r="B33" s="125"/>
      <c r="C33" s="125"/>
      <c r="D33" s="126"/>
      <c r="E33" s="125"/>
      <c r="F33" s="125"/>
      <c r="G33" s="126"/>
      <c r="H33" s="125"/>
      <c r="I33" s="125"/>
      <c r="J33" s="126"/>
      <c r="K33" s="127"/>
      <c r="L33" s="126"/>
      <c r="M33" s="126"/>
      <c r="N33" s="126"/>
      <c r="O33" s="125"/>
    </row>
    <row r="34" spans="1:15">
      <c r="A34" s="124"/>
      <c r="B34" s="125"/>
      <c r="C34" s="125"/>
      <c r="D34" s="126"/>
      <c r="E34" s="125"/>
      <c r="F34" s="125"/>
      <c r="G34" s="126"/>
      <c r="H34" s="125"/>
      <c r="I34" s="125"/>
      <c r="J34" s="126"/>
      <c r="K34" s="127"/>
      <c r="L34" s="126"/>
      <c r="M34" s="126"/>
      <c r="N34" s="126"/>
      <c r="O34" s="125"/>
    </row>
  </sheetData>
  <mergeCells count="23">
    <mergeCell ref="F18:F20"/>
    <mergeCell ref="I18:I20"/>
    <mergeCell ref="J18:J20"/>
    <mergeCell ref="K18:L18"/>
    <mergeCell ref="N18:N20"/>
    <mergeCell ref="K19:K20"/>
    <mergeCell ref="L19:L20"/>
    <mergeCell ref="A1:O1"/>
    <mergeCell ref="K5:L5"/>
    <mergeCell ref="A16:A20"/>
    <mergeCell ref="B16:B20"/>
    <mergeCell ref="C16:C20"/>
    <mergeCell ref="D16:F17"/>
    <mergeCell ref="G16:G20"/>
    <mergeCell ref="H16:H20"/>
    <mergeCell ref="I16:N17"/>
    <mergeCell ref="M19:M20"/>
    <mergeCell ref="A12:D12"/>
    <mergeCell ref="A13:D13"/>
    <mergeCell ref="A14:D14"/>
    <mergeCell ref="O16:O20"/>
    <mergeCell ref="D18:D20"/>
    <mergeCell ref="E18:E20"/>
  </mergeCells>
  <hyperlinks>
    <hyperlink ref="E5" r:id="rId1"/>
  </hyperlinks>
  <pageMargins left="0.7" right="0.7" top="0.75" bottom="0.75" header="0.3" footer="0.3"/>
  <pageSetup paperSize="9"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12298" r:id="rId5" name="Check Box 4">
              <controlPr defaultSize="0" autoFill="0" autoLine="0" autoPict="0">
                <anchor moveWithCells="1" sizeWithCells="1">
                  <from>
                    <xdr:col>1</xdr:col>
                    <xdr:colOff>600075</xdr:colOff>
                    <xdr:row>0</xdr:row>
                    <xdr:rowOff>133350</xdr:rowOff>
                  </from>
                  <to>
                    <xdr:col>3</xdr:col>
                    <xdr:colOff>219075</xdr:colOff>
                    <xdr:row>1</xdr:row>
                    <xdr:rowOff>152400</xdr:rowOff>
                  </to>
                </anchor>
              </controlPr>
            </control>
          </mc:Choice>
        </mc:AlternateContent>
        <mc:AlternateContent xmlns:mc="http://schemas.openxmlformats.org/markup-compatibility/2006">
          <mc:Choice Requires="x14">
            <control shapeId="12299" r:id="rId6" name="Check Box 5">
              <controlPr defaultSize="0" autoFill="0" autoLine="0" autoPict="0">
                <anchor moveWithCells="1" sizeWithCells="1">
                  <from>
                    <xdr:col>3</xdr:col>
                    <xdr:colOff>200025</xdr:colOff>
                    <xdr:row>0</xdr:row>
                    <xdr:rowOff>142875</xdr:rowOff>
                  </from>
                  <to>
                    <xdr:col>5</xdr:col>
                    <xdr:colOff>609600</xdr:colOff>
                    <xdr:row>2</xdr:row>
                    <xdr:rowOff>0</xdr:rowOff>
                  </to>
                </anchor>
              </controlPr>
            </control>
          </mc:Choice>
        </mc:AlternateContent>
        <mc:AlternateContent xmlns:mc="http://schemas.openxmlformats.org/markup-compatibility/2006">
          <mc:Choice Requires="x14">
            <control shapeId="12300" r:id="rId7" name="Check Box 6">
              <controlPr defaultSize="0" autoFill="0" autoLine="0" autoPict="0">
                <anchor moveWithCells="1" sizeWithCells="1">
                  <from>
                    <xdr:col>0</xdr:col>
                    <xdr:colOff>38100</xdr:colOff>
                    <xdr:row>0</xdr:row>
                    <xdr:rowOff>133350</xdr:rowOff>
                  </from>
                  <to>
                    <xdr:col>1</xdr:col>
                    <xdr:colOff>619125</xdr:colOff>
                    <xdr:row>1</xdr:row>
                    <xdr:rowOff>152400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7"/>
  <sheetViews>
    <sheetView topLeftCell="A55" workbookViewId="0">
      <selection activeCell="B21" sqref="B21:C53"/>
    </sheetView>
  </sheetViews>
  <sheetFormatPr defaultRowHeight="12.75"/>
  <cols>
    <col min="2" max="2" width="13.42578125" customWidth="1"/>
    <col min="3" max="3" width="15.7109375" customWidth="1"/>
    <col min="5" max="5" width="20.42578125" customWidth="1"/>
    <col min="8" max="8" width="16" customWidth="1"/>
    <col min="9" max="9" width="13.5703125" customWidth="1"/>
    <col min="10" max="10" width="12.7109375" customWidth="1"/>
    <col min="13" max="13" width="25" customWidth="1"/>
  </cols>
  <sheetData>
    <row r="1" spans="1:13" ht="13.5" thickBot="1"/>
    <row r="2" spans="1:13" ht="38.25">
      <c r="A2" s="349" t="s">
        <v>348</v>
      </c>
      <c r="B2" s="347" t="s">
        <v>349</v>
      </c>
      <c r="C2" s="348" t="s">
        <v>350</v>
      </c>
      <c r="D2" s="181">
        <v>1</v>
      </c>
      <c r="E2" s="182" t="s">
        <v>351</v>
      </c>
      <c r="F2" s="183"/>
      <c r="G2" s="183"/>
      <c r="H2" s="348" t="s">
        <v>352</v>
      </c>
      <c r="I2" s="348" t="s">
        <v>353</v>
      </c>
      <c r="J2" s="348" t="s">
        <v>354</v>
      </c>
      <c r="K2" s="184" t="s">
        <v>355</v>
      </c>
      <c r="L2" s="347" t="s">
        <v>356</v>
      </c>
      <c r="M2" s="348" t="s">
        <v>357</v>
      </c>
    </row>
    <row r="3" spans="1:13" ht="38.25">
      <c r="A3" s="350"/>
      <c r="B3" s="342"/>
      <c r="C3" s="323"/>
      <c r="D3" s="181">
        <v>2</v>
      </c>
      <c r="E3" s="185"/>
      <c r="F3" s="185" t="s">
        <v>358</v>
      </c>
      <c r="G3" s="185"/>
      <c r="H3" s="323"/>
      <c r="I3" s="323"/>
      <c r="J3" s="323"/>
      <c r="K3" s="186" t="s">
        <v>359</v>
      </c>
      <c r="L3" s="335"/>
      <c r="M3" s="324"/>
    </row>
    <row r="4" spans="1:13" ht="38.25">
      <c r="A4" s="351"/>
      <c r="B4" s="187" t="s">
        <v>360</v>
      </c>
      <c r="C4" s="185" t="s">
        <v>361</v>
      </c>
      <c r="D4" s="181">
        <v>3</v>
      </c>
      <c r="E4" s="185"/>
      <c r="F4" s="188" t="s">
        <v>362</v>
      </c>
      <c r="G4" s="185"/>
      <c r="H4" s="186" t="s">
        <v>363</v>
      </c>
      <c r="I4" s="186" t="s">
        <v>364</v>
      </c>
      <c r="J4" s="185" t="s">
        <v>365</v>
      </c>
      <c r="K4" s="186" t="s">
        <v>366</v>
      </c>
      <c r="L4" s="342"/>
      <c r="M4" s="323"/>
    </row>
    <row r="6" spans="1:13" ht="51">
      <c r="A6" s="325" t="s">
        <v>204</v>
      </c>
      <c r="B6" s="189" t="s">
        <v>367</v>
      </c>
      <c r="C6" s="328" t="s">
        <v>368</v>
      </c>
      <c r="D6" s="181">
        <v>1</v>
      </c>
      <c r="E6" s="190"/>
      <c r="F6" s="191" t="s">
        <v>208</v>
      </c>
      <c r="G6" s="192"/>
      <c r="H6" s="328" t="s">
        <v>369</v>
      </c>
      <c r="I6" s="193" t="s">
        <v>370</v>
      </c>
      <c r="J6" s="194" t="s">
        <v>371</v>
      </c>
      <c r="K6" s="193"/>
      <c r="L6" s="189" t="s">
        <v>372</v>
      </c>
      <c r="M6" s="322" t="s">
        <v>373</v>
      </c>
    </row>
    <row r="7" spans="1:13" ht="51">
      <c r="A7" s="338"/>
      <c r="B7" s="195" t="s">
        <v>374</v>
      </c>
      <c r="C7" s="339"/>
      <c r="D7" s="181">
        <v>2</v>
      </c>
      <c r="E7" s="196"/>
      <c r="F7" s="192" t="s">
        <v>215</v>
      </c>
      <c r="G7" s="192"/>
      <c r="H7" s="337"/>
      <c r="I7" s="195" t="s">
        <v>375</v>
      </c>
      <c r="J7" s="197" t="s">
        <v>376</v>
      </c>
      <c r="K7" s="195" t="s">
        <v>377</v>
      </c>
      <c r="L7" s="195" t="s">
        <v>378</v>
      </c>
      <c r="M7" s="323"/>
    </row>
    <row r="9" spans="1:13">
      <c r="A9" s="325" t="s">
        <v>219</v>
      </c>
      <c r="B9" s="328" t="s">
        <v>379</v>
      </c>
      <c r="C9" s="328" t="s">
        <v>380</v>
      </c>
      <c r="D9" s="181">
        <v>1</v>
      </c>
      <c r="E9" s="196" t="s">
        <v>381</v>
      </c>
      <c r="F9" s="333"/>
      <c r="G9" s="185"/>
      <c r="H9" s="328" t="s">
        <v>369</v>
      </c>
      <c r="I9" s="328" t="s">
        <v>378</v>
      </c>
      <c r="J9" s="343">
        <v>1</v>
      </c>
      <c r="K9" s="328"/>
      <c r="L9" s="328" t="s">
        <v>382</v>
      </c>
      <c r="M9" s="322" t="s">
        <v>383</v>
      </c>
    </row>
    <row r="10" spans="1:13">
      <c r="A10" s="326"/>
      <c r="B10" s="341"/>
      <c r="C10" s="337"/>
      <c r="D10" s="181">
        <v>2</v>
      </c>
      <c r="E10" s="196" t="s">
        <v>227</v>
      </c>
      <c r="F10" s="341"/>
      <c r="G10" s="185"/>
      <c r="H10" s="337"/>
      <c r="I10" s="337"/>
      <c r="J10" s="341"/>
      <c r="K10" s="341"/>
      <c r="L10" s="337"/>
      <c r="M10" s="324"/>
    </row>
    <row r="11" spans="1:13">
      <c r="A11" s="326"/>
      <c r="B11" s="344" t="s">
        <v>384</v>
      </c>
      <c r="C11" s="322" t="s">
        <v>385</v>
      </c>
      <c r="D11" s="181">
        <v>3</v>
      </c>
      <c r="E11" s="186" t="s">
        <v>386</v>
      </c>
      <c r="F11" s="188"/>
      <c r="G11" s="185"/>
      <c r="H11" s="198" t="s">
        <v>387</v>
      </c>
      <c r="I11" s="334" t="s">
        <v>364</v>
      </c>
      <c r="J11" s="334" t="s">
        <v>388</v>
      </c>
      <c r="K11" s="322" t="s">
        <v>389</v>
      </c>
      <c r="L11" s="322" t="s">
        <v>390</v>
      </c>
      <c r="M11" s="324"/>
    </row>
    <row r="12" spans="1:13">
      <c r="A12" s="326"/>
      <c r="B12" s="345"/>
      <c r="C12" s="323"/>
      <c r="D12" s="181">
        <v>4</v>
      </c>
      <c r="E12" s="186" t="s">
        <v>391</v>
      </c>
      <c r="F12" s="188"/>
      <c r="G12" s="185"/>
      <c r="H12" s="198" t="s">
        <v>392</v>
      </c>
      <c r="I12" s="342"/>
      <c r="J12" s="342"/>
      <c r="K12" s="323"/>
      <c r="L12" s="323"/>
      <c r="M12" s="324"/>
    </row>
    <row r="13" spans="1:13">
      <c r="A13" s="326"/>
      <c r="B13" s="345"/>
      <c r="C13" s="322" t="s">
        <v>393</v>
      </c>
      <c r="D13" s="181">
        <v>5</v>
      </c>
      <c r="E13" s="196" t="s">
        <v>205</v>
      </c>
      <c r="F13" s="192"/>
      <c r="G13" s="192"/>
      <c r="H13" s="328" t="s">
        <v>369</v>
      </c>
      <c r="I13" s="328" t="s">
        <v>394</v>
      </c>
      <c r="J13" s="328" t="s">
        <v>388</v>
      </c>
      <c r="K13" s="333" t="s">
        <v>395</v>
      </c>
      <c r="L13" s="328" t="s">
        <v>396</v>
      </c>
      <c r="M13" s="324"/>
    </row>
    <row r="14" spans="1:13">
      <c r="A14" s="326"/>
      <c r="B14" s="345"/>
      <c r="C14" s="324"/>
      <c r="D14" s="181">
        <v>6</v>
      </c>
      <c r="E14" s="196" t="s">
        <v>240</v>
      </c>
      <c r="F14" s="192"/>
      <c r="G14" s="192"/>
      <c r="H14" s="339"/>
      <c r="I14" s="339"/>
      <c r="J14" s="339"/>
      <c r="K14" s="339"/>
      <c r="L14" s="339"/>
      <c r="M14" s="324"/>
    </row>
    <row r="15" spans="1:13">
      <c r="A15" s="326"/>
      <c r="B15" s="345"/>
      <c r="C15" s="324"/>
      <c r="D15" s="181">
        <v>7</v>
      </c>
      <c r="E15" s="196" t="s">
        <v>206</v>
      </c>
      <c r="F15" s="192"/>
      <c r="G15" s="192"/>
      <c r="H15" s="339"/>
      <c r="I15" s="339"/>
      <c r="J15" s="339"/>
      <c r="K15" s="339"/>
      <c r="L15" s="339"/>
      <c r="M15" s="324"/>
    </row>
    <row r="16" spans="1:13" ht="25.5">
      <c r="A16" s="338"/>
      <c r="B16" s="346"/>
      <c r="C16" s="323"/>
      <c r="D16" s="181">
        <v>8</v>
      </c>
      <c r="E16" s="196" t="s">
        <v>397</v>
      </c>
      <c r="F16" s="192"/>
      <c r="G16" s="192"/>
      <c r="H16" s="337"/>
      <c r="I16" s="337"/>
      <c r="J16" s="337"/>
      <c r="K16" s="337"/>
      <c r="L16" s="337"/>
      <c r="M16" s="323"/>
    </row>
    <row r="18" spans="1:13" ht="25.5">
      <c r="A18" s="325" t="s">
        <v>314</v>
      </c>
      <c r="B18" s="333" t="s">
        <v>398</v>
      </c>
      <c r="C18" s="333" t="s">
        <v>399</v>
      </c>
      <c r="D18" s="181">
        <v>1</v>
      </c>
      <c r="E18" s="192" t="s">
        <v>316</v>
      </c>
      <c r="F18" s="192"/>
      <c r="G18" s="192"/>
      <c r="H18" s="328" t="s">
        <v>369</v>
      </c>
      <c r="I18" s="328" t="s">
        <v>378</v>
      </c>
      <c r="J18" s="334" t="s">
        <v>388</v>
      </c>
      <c r="K18" s="333" t="s">
        <v>400</v>
      </c>
      <c r="L18" s="328" t="s">
        <v>382</v>
      </c>
      <c r="M18" s="322" t="s">
        <v>401</v>
      </c>
    </row>
    <row r="19" spans="1:13" ht="25.5">
      <c r="A19" s="338"/>
      <c r="B19" s="341"/>
      <c r="C19" s="341"/>
      <c r="D19" s="181">
        <v>2</v>
      </c>
      <c r="E19" s="199" t="s">
        <v>321</v>
      </c>
      <c r="F19" s="192"/>
      <c r="G19" s="185"/>
      <c r="H19" s="337"/>
      <c r="I19" s="341"/>
      <c r="J19" s="342"/>
      <c r="K19" s="337"/>
      <c r="L19" s="337"/>
      <c r="M19" s="323"/>
    </row>
    <row r="21" spans="1:13">
      <c r="A21" s="325" t="s">
        <v>324</v>
      </c>
      <c r="B21" s="328" t="s">
        <v>325</v>
      </c>
      <c r="C21" s="322" t="s">
        <v>402</v>
      </c>
      <c r="D21" s="181">
        <v>1</v>
      </c>
      <c r="E21" s="199" t="s">
        <v>227</v>
      </c>
      <c r="F21" s="199"/>
      <c r="G21" s="185"/>
      <c r="H21" s="328" t="s">
        <v>369</v>
      </c>
      <c r="I21" s="328" t="s">
        <v>378</v>
      </c>
      <c r="J21" s="332">
        <v>1</v>
      </c>
      <c r="K21" s="333"/>
      <c r="L21" s="334" t="s">
        <v>382</v>
      </c>
      <c r="M21" s="322" t="s">
        <v>403</v>
      </c>
    </row>
    <row r="22" spans="1:13" ht="25.5">
      <c r="A22" s="326"/>
      <c r="B22" s="339"/>
      <c r="C22" s="323"/>
      <c r="D22" s="181">
        <v>2</v>
      </c>
      <c r="E22" s="199" t="s">
        <v>321</v>
      </c>
      <c r="F22" s="199"/>
      <c r="G22" s="185"/>
      <c r="H22" s="337"/>
      <c r="I22" s="337"/>
      <c r="J22" s="340"/>
      <c r="K22" s="341"/>
      <c r="L22" s="323"/>
      <c r="M22" s="323"/>
    </row>
    <row r="23" spans="1:13" ht="38.25">
      <c r="A23" s="326"/>
      <c r="B23" s="339"/>
      <c r="C23" s="200" t="s">
        <v>404</v>
      </c>
      <c r="D23" s="181">
        <v>3</v>
      </c>
      <c r="E23" s="201" t="s">
        <v>405</v>
      </c>
      <c r="F23" s="189"/>
      <c r="G23" s="185"/>
      <c r="H23" s="202" t="s">
        <v>406</v>
      </c>
      <c r="I23" s="202" t="s">
        <v>407</v>
      </c>
      <c r="J23" s="192"/>
      <c r="K23" s="186"/>
      <c r="L23" s="189" t="s">
        <v>408</v>
      </c>
      <c r="M23" s="322" t="s">
        <v>409</v>
      </c>
    </row>
    <row r="24" spans="1:13" ht="25.5">
      <c r="A24" s="326"/>
      <c r="B24" s="339"/>
      <c r="C24" s="200" t="s">
        <v>404</v>
      </c>
      <c r="D24" s="181">
        <v>4</v>
      </c>
      <c r="E24" s="186" t="s">
        <v>410</v>
      </c>
      <c r="F24" s="189"/>
      <c r="G24" s="192"/>
      <c r="H24" s="192" t="s">
        <v>411</v>
      </c>
      <c r="I24" s="202" t="s">
        <v>412</v>
      </c>
      <c r="J24" s="189" t="s">
        <v>413</v>
      </c>
      <c r="K24" s="203" t="s">
        <v>414</v>
      </c>
      <c r="L24" s="189" t="s">
        <v>408</v>
      </c>
      <c r="M24" s="324"/>
    </row>
    <row r="25" spans="1:13" ht="25.5">
      <c r="A25" s="326"/>
      <c r="B25" s="339"/>
      <c r="C25" s="200" t="s">
        <v>404</v>
      </c>
      <c r="D25" s="181">
        <v>5</v>
      </c>
      <c r="E25" s="186" t="s">
        <v>410</v>
      </c>
      <c r="F25" s="189"/>
      <c r="G25" s="185"/>
      <c r="H25" s="185" t="s">
        <v>415</v>
      </c>
      <c r="I25" s="202" t="s">
        <v>412</v>
      </c>
      <c r="J25" s="189" t="s">
        <v>413</v>
      </c>
      <c r="K25" s="203" t="s">
        <v>414</v>
      </c>
      <c r="L25" s="189" t="s">
        <v>408</v>
      </c>
      <c r="M25" s="324"/>
    </row>
    <row r="26" spans="1:13" ht="25.5">
      <c r="A26" s="326"/>
      <c r="B26" s="339"/>
      <c r="C26" s="200" t="s">
        <v>404</v>
      </c>
      <c r="D26" s="181">
        <v>6</v>
      </c>
      <c r="E26" s="186" t="s">
        <v>410</v>
      </c>
      <c r="F26" s="189"/>
      <c r="G26" s="185"/>
      <c r="H26" s="185" t="s">
        <v>416</v>
      </c>
      <c r="I26" s="202" t="s">
        <v>412</v>
      </c>
      <c r="J26" s="189" t="s">
        <v>413</v>
      </c>
      <c r="K26" s="203" t="s">
        <v>414</v>
      </c>
      <c r="L26" s="189" t="s">
        <v>408</v>
      </c>
      <c r="M26" s="324"/>
    </row>
    <row r="27" spans="1:13" ht="25.5">
      <c r="A27" s="326"/>
      <c r="B27" s="339"/>
      <c r="C27" s="200" t="s">
        <v>404</v>
      </c>
      <c r="D27" s="181">
        <v>7</v>
      </c>
      <c r="E27" s="186" t="s">
        <v>417</v>
      </c>
      <c r="F27" s="189"/>
      <c r="G27" s="185"/>
      <c r="H27" s="185" t="s">
        <v>418</v>
      </c>
      <c r="I27" s="202" t="s">
        <v>412</v>
      </c>
      <c r="J27" s="189" t="s">
        <v>413</v>
      </c>
      <c r="K27" s="203" t="s">
        <v>414</v>
      </c>
      <c r="L27" s="189" t="s">
        <v>408</v>
      </c>
      <c r="M27" s="324"/>
    </row>
    <row r="28" spans="1:13" ht="25.5">
      <c r="A28" s="326"/>
      <c r="B28" s="339"/>
      <c r="C28" s="200" t="s">
        <v>404</v>
      </c>
      <c r="D28" s="181">
        <v>8</v>
      </c>
      <c r="E28" s="186" t="s">
        <v>417</v>
      </c>
      <c r="F28" s="189"/>
      <c r="G28" s="185"/>
      <c r="H28" s="185" t="s">
        <v>419</v>
      </c>
      <c r="I28" s="202" t="s">
        <v>412</v>
      </c>
      <c r="J28" s="189" t="s">
        <v>413</v>
      </c>
      <c r="K28" s="203" t="s">
        <v>414</v>
      </c>
      <c r="L28" s="189" t="s">
        <v>408</v>
      </c>
      <c r="M28" s="324"/>
    </row>
    <row r="29" spans="1:13" ht="25.5">
      <c r="A29" s="326"/>
      <c r="B29" s="339"/>
      <c r="C29" s="200" t="s">
        <v>404</v>
      </c>
      <c r="D29" s="181">
        <v>9</v>
      </c>
      <c r="E29" s="186" t="s">
        <v>420</v>
      </c>
      <c r="F29" s="189"/>
      <c r="G29" s="185"/>
      <c r="H29" s="185" t="s">
        <v>421</v>
      </c>
      <c r="I29" s="202" t="s">
        <v>412</v>
      </c>
      <c r="J29" s="189" t="s">
        <v>413</v>
      </c>
      <c r="K29" s="203" t="s">
        <v>414</v>
      </c>
      <c r="L29" s="189" t="s">
        <v>408</v>
      </c>
      <c r="M29" s="324"/>
    </row>
    <row r="30" spans="1:13" ht="25.5">
      <c r="A30" s="326"/>
      <c r="B30" s="339"/>
      <c r="C30" s="200" t="s">
        <v>404</v>
      </c>
      <c r="D30" s="181">
        <v>10</v>
      </c>
      <c r="E30" s="186" t="s">
        <v>420</v>
      </c>
      <c r="F30" s="189"/>
      <c r="G30" s="185"/>
      <c r="H30" s="185" t="s">
        <v>422</v>
      </c>
      <c r="I30" s="202" t="s">
        <v>412</v>
      </c>
      <c r="J30" s="189" t="s">
        <v>413</v>
      </c>
      <c r="K30" s="203" t="s">
        <v>414</v>
      </c>
      <c r="L30" s="189" t="s">
        <v>408</v>
      </c>
      <c r="M30" s="324"/>
    </row>
    <row r="31" spans="1:13" ht="25.5">
      <c r="A31" s="326"/>
      <c r="B31" s="339"/>
      <c r="C31" s="200" t="s">
        <v>404</v>
      </c>
      <c r="D31" s="181">
        <v>11</v>
      </c>
      <c r="E31" s="186" t="s">
        <v>423</v>
      </c>
      <c r="F31" s="189"/>
      <c r="G31" s="185"/>
      <c r="H31" s="185" t="s">
        <v>424</v>
      </c>
      <c r="I31" s="202" t="s">
        <v>412</v>
      </c>
      <c r="J31" s="189" t="s">
        <v>413</v>
      </c>
      <c r="K31" s="203" t="s">
        <v>414</v>
      </c>
      <c r="L31" s="189" t="s">
        <v>408</v>
      </c>
      <c r="M31" s="324"/>
    </row>
    <row r="32" spans="1:13" ht="25.5">
      <c r="A32" s="326"/>
      <c r="B32" s="339"/>
      <c r="C32" s="200" t="s">
        <v>404</v>
      </c>
      <c r="D32" s="181">
        <v>12</v>
      </c>
      <c r="E32" s="186" t="s">
        <v>425</v>
      </c>
      <c r="F32" s="189"/>
      <c r="G32" s="185"/>
      <c r="H32" s="185" t="s">
        <v>426</v>
      </c>
      <c r="I32" s="202" t="s">
        <v>412</v>
      </c>
      <c r="J32" s="189" t="s">
        <v>413</v>
      </c>
      <c r="K32" s="203" t="s">
        <v>414</v>
      </c>
      <c r="L32" s="189" t="s">
        <v>408</v>
      </c>
      <c r="M32" s="324"/>
    </row>
    <row r="33" spans="1:13" ht="25.5">
      <c r="A33" s="326"/>
      <c r="B33" s="339"/>
      <c r="C33" s="200" t="s">
        <v>404</v>
      </c>
      <c r="D33" s="181">
        <v>13</v>
      </c>
      <c r="E33" s="186" t="s">
        <v>427</v>
      </c>
      <c r="F33" s="189"/>
      <c r="G33" s="185"/>
      <c r="H33" s="185" t="s">
        <v>428</v>
      </c>
      <c r="I33" s="202" t="s">
        <v>412</v>
      </c>
      <c r="J33" s="189" t="s">
        <v>413</v>
      </c>
      <c r="K33" s="203" t="s">
        <v>414</v>
      </c>
      <c r="L33" s="189" t="s">
        <v>408</v>
      </c>
      <c r="M33" s="324"/>
    </row>
    <row r="34" spans="1:13" ht="25.5">
      <c r="A34" s="326"/>
      <c r="B34" s="339"/>
      <c r="C34" s="200" t="s">
        <v>404</v>
      </c>
      <c r="D34" s="181">
        <v>14</v>
      </c>
      <c r="E34" s="186" t="s">
        <v>427</v>
      </c>
      <c r="F34" s="189"/>
      <c r="G34" s="185"/>
      <c r="H34" s="185" t="s">
        <v>429</v>
      </c>
      <c r="I34" s="202" t="s">
        <v>412</v>
      </c>
      <c r="J34" s="189" t="s">
        <v>413</v>
      </c>
      <c r="K34" s="203" t="s">
        <v>414</v>
      </c>
      <c r="L34" s="189" t="s">
        <v>408</v>
      </c>
      <c r="M34" s="324"/>
    </row>
    <row r="35" spans="1:13" ht="25.5">
      <c r="A35" s="326"/>
      <c r="B35" s="339"/>
      <c r="C35" s="200" t="s">
        <v>404</v>
      </c>
      <c r="D35" s="181">
        <v>15</v>
      </c>
      <c r="E35" s="186" t="s">
        <v>430</v>
      </c>
      <c r="F35" s="189"/>
      <c r="G35" s="185"/>
      <c r="H35" s="185" t="s">
        <v>431</v>
      </c>
      <c r="I35" s="202" t="s">
        <v>412</v>
      </c>
      <c r="J35" s="189" t="s">
        <v>413</v>
      </c>
      <c r="K35" s="203" t="s">
        <v>414</v>
      </c>
      <c r="L35" s="189" t="s">
        <v>408</v>
      </c>
      <c r="M35" s="324"/>
    </row>
    <row r="36" spans="1:13" ht="25.5">
      <c r="A36" s="326"/>
      <c r="B36" s="339"/>
      <c r="C36" s="200" t="s">
        <v>404</v>
      </c>
      <c r="D36" s="181">
        <v>16</v>
      </c>
      <c r="E36" s="186" t="s">
        <v>432</v>
      </c>
      <c r="F36" s="189"/>
      <c r="G36" s="185"/>
      <c r="H36" s="185" t="s">
        <v>433</v>
      </c>
      <c r="I36" s="202" t="s">
        <v>412</v>
      </c>
      <c r="J36" s="189" t="s">
        <v>413</v>
      </c>
      <c r="K36" s="203" t="s">
        <v>414</v>
      </c>
      <c r="L36" s="189" t="s">
        <v>408</v>
      </c>
      <c r="M36" s="324"/>
    </row>
    <row r="37" spans="1:13" ht="25.5">
      <c r="A37" s="326"/>
      <c r="B37" s="339"/>
      <c r="C37" s="200" t="s">
        <v>404</v>
      </c>
      <c r="D37" s="181">
        <v>17</v>
      </c>
      <c r="E37" s="186" t="s">
        <v>432</v>
      </c>
      <c r="F37" s="189"/>
      <c r="G37" s="185"/>
      <c r="H37" s="185" t="s">
        <v>434</v>
      </c>
      <c r="I37" s="202" t="s">
        <v>412</v>
      </c>
      <c r="J37" s="189" t="s">
        <v>413</v>
      </c>
      <c r="K37" s="203" t="s">
        <v>414</v>
      </c>
      <c r="L37" s="189" t="s">
        <v>408</v>
      </c>
      <c r="M37" s="324"/>
    </row>
    <row r="38" spans="1:13" ht="25.5">
      <c r="A38" s="326"/>
      <c r="B38" s="339"/>
      <c r="C38" s="200" t="s">
        <v>404</v>
      </c>
      <c r="D38" s="181">
        <v>18</v>
      </c>
      <c r="E38" s="186" t="s">
        <v>435</v>
      </c>
      <c r="F38" s="189"/>
      <c r="G38" s="185"/>
      <c r="H38" s="185" t="s">
        <v>436</v>
      </c>
      <c r="I38" s="202" t="s">
        <v>412</v>
      </c>
      <c r="J38" s="189" t="s">
        <v>413</v>
      </c>
      <c r="K38" s="203" t="s">
        <v>414</v>
      </c>
      <c r="L38" s="189" t="s">
        <v>408</v>
      </c>
      <c r="M38" s="324"/>
    </row>
    <row r="39" spans="1:13" ht="25.5">
      <c r="A39" s="326"/>
      <c r="B39" s="339"/>
      <c r="C39" s="200" t="s">
        <v>404</v>
      </c>
      <c r="D39" s="181">
        <v>19</v>
      </c>
      <c r="E39" s="186" t="s">
        <v>437</v>
      </c>
      <c r="F39" s="189"/>
      <c r="G39" s="185"/>
      <c r="H39" s="185" t="s">
        <v>438</v>
      </c>
      <c r="I39" s="202" t="s">
        <v>412</v>
      </c>
      <c r="J39" s="189" t="s">
        <v>413</v>
      </c>
      <c r="K39" s="203" t="s">
        <v>414</v>
      </c>
      <c r="L39" s="189" t="s">
        <v>408</v>
      </c>
      <c r="M39" s="324"/>
    </row>
    <row r="40" spans="1:13" ht="25.5">
      <c r="A40" s="326"/>
      <c r="B40" s="339"/>
      <c r="C40" s="200" t="s">
        <v>404</v>
      </c>
      <c r="D40" s="181">
        <v>20</v>
      </c>
      <c r="E40" s="186" t="s">
        <v>439</v>
      </c>
      <c r="F40" s="189"/>
      <c r="G40" s="185"/>
      <c r="H40" s="185" t="s">
        <v>440</v>
      </c>
      <c r="I40" s="202" t="s">
        <v>412</v>
      </c>
      <c r="J40" s="189" t="s">
        <v>413</v>
      </c>
      <c r="K40" s="203" t="s">
        <v>414</v>
      </c>
      <c r="L40" s="189" t="s">
        <v>408</v>
      </c>
      <c r="M40" s="324"/>
    </row>
    <row r="41" spans="1:13" ht="25.5">
      <c r="A41" s="326"/>
      <c r="B41" s="339"/>
      <c r="C41" s="200" t="s">
        <v>404</v>
      </c>
      <c r="D41" s="181">
        <v>21</v>
      </c>
      <c r="E41" s="186" t="s">
        <v>386</v>
      </c>
      <c r="F41" s="189"/>
      <c r="G41" s="185"/>
      <c r="H41" s="185" t="s">
        <v>387</v>
      </c>
      <c r="I41" s="202" t="s">
        <v>412</v>
      </c>
      <c r="J41" s="189" t="s">
        <v>413</v>
      </c>
      <c r="K41" s="203" t="s">
        <v>414</v>
      </c>
      <c r="L41" s="189" t="s">
        <v>408</v>
      </c>
      <c r="M41" s="324"/>
    </row>
    <row r="42" spans="1:13" ht="25.5">
      <c r="A42" s="326"/>
      <c r="B42" s="339"/>
      <c r="C42" s="200" t="s">
        <v>404</v>
      </c>
      <c r="D42" s="181">
        <v>22</v>
      </c>
      <c r="E42" s="186" t="s">
        <v>441</v>
      </c>
      <c r="F42" s="189"/>
      <c r="G42" s="185"/>
      <c r="H42" s="185" t="s">
        <v>434</v>
      </c>
      <c r="I42" s="202" t="s">
        <v>412</v>
      </c>
      <c r="J42" s="189" t="s">
        <v>413</v>
      </c>
      <c r="K42" s="203" t="s">
        <v>414</v>
      </c>
      <c r="L42" s="189" t="s">
        <v>408</v>
      </c>
      <c r="M42" s="324"/>
    </row>
    <row r="43" spans="1:13" ht="25.5">
      <c r="A43" s="326"/>
      <c r="B43" s="339"/>
      <c r="C43" s="200" t="s">
        <v>404</v>
      </c>
      <c r="D43" s="181">
        <v>23</v>
      </c>
      <c r="E43" s="186" t="s">
        <v>442</v>
      </c>
      <c r="F43" s="189"/>
      <c r="G43" s="185"/>
      <c r="H43" s="185" t="s">
        <v>443</v>
      </c>
      <c r="I43" s="202" t="s">
        <v>412</v>
      </c>
      <c r="J43" s="189" t="s">
        <v>413</v>
      </c>
      <c r="K43" s="203" t="s">
        <v>414</v>
      </c>
      <c r="L43" s="189" t="s">
        <v>408</v>
      </c>
      <c r="M43" s="324"/>
    </row>
    <row r="44" spans="1:13" ht="25.5">
      <c r="A44" s="326"/>
      <c r="B44" s="339"/>
      <c r="C44" s="200" t="s">
        <v>404</v>
      </c>
      <c r="D44" s="181">
        <v>24</v>
      </c>
      <c r="E44" s="186" t="s">
        <v>444</v>
      </c>
      <c r="F44" s="189"/>
      <c r="G44" s="185"/>
      <c r="H44" s="185" t="s">
        <v>433</v>
      </c>
      <c r="I44" s="202" t="s">
        <v>412</v>
      </c>
      <c r="J44" s="189" t="s">
        <v>413</v>
      </c>
      <c r="K44" s="203" t="s">
        <v>414</v>
      </c>
      <c r="L44" s="189" t="s">
        <v>408</v>
      </c>
      <c r="M44" s="324"/>
    </row>
    <row r="45" spans="1:13" ht="25.5">
      <c r="A45" s="326"/>
      <c r="B45" s="339"/>
      <c r="C45" s="200" t="s">
        <v>404</v>
      </c>
      <c r="D45" s="181">
        <v>25</v>
      </c>
      <c r="E45" s="186" t="s">
        <v>445</v>
      </c>
      <c r="F45" s="189"/>
      <c r="G45" s="185"/>
      <c r="H45" s="185" t="s">
        <v>431</v>
      </c>
      <c r="I45" s="202" t="s">
        <v>412</v>
      </c>
      <c r="J45" s="189" t="s">
        <v>413</v>
      </c>
      <c r="K45" s="203" t="s">
        <v>414</v>
      </c>
      <c r="L45" s="189" t="s">
        <v>408</v>
      </c>
      <c r="M45" s="324"/>
    </row>
    <row r="46" spans="1:13" ht="25.5">
      <c r="A46" s="326"/>
      <c r="B46" s="339"/>
      <c r="C46" s="200" t="s">
        <v>404</v>
      </c>
      <c r="D46" s="181">
        <v>26</v>
      </c>
      <c r="E46" s="186" t="s">
        <v>446</v>
      </c>
      <c r="F46" s="189"/>
      <c r="G46" s="185"/>
      <c r="H46" s="185" t="s">
        <v>447</v>
      </c>
      <c r="I46" s="202" t="s">
        <v>412</v>
      </c>
      <c r="J46" s="189" t="s">
        <v>413</v>
      </c>
      <c r="K46" s="203" t="s">
        <v>414</v>
      </c>
      <c r="L46" s="189" t="s">
        <v>408</v>
      </c>
      <c r="M46" s="324"/>
    </row>
    <row r="47" spans="1:13" ht="25.5">
      <c r="A47" s="326"/>
      <c r="B47" s="339"/>
      <c r="C47" s="200" t="s">
        <v>404</v>
      </c>
      <c r="D47" s="181">
        <v>27</v>
      </c>
      <c r="E47" s="186" t="s">
        <v>448</v>
      </c>
      <c r="F47" s="189"/>
      <c r="G47" s="185"/>
      <c r="H47" s="185" t="s">
        <v>449</v>
      </c>
      <c r="I47" s="202" t="s">
        <v>412</v>
      </c>
      <c r="J47" s="189" t="s">
        <v>413</v>
      </c>
      <c r="K47" s="203" t="s">
        <v>414</v>
      </c>
      <c r="L47" s="189" t="s">
        <v>408</v>
      </c>
      <c r="M47" s="324"/>
    </row>
    <row r="48" spans="1:13" ht="25.5">
      <c r="A48" s="326"/>
      <c r="B48" s="339"/>
      <c r="C48" s="200" t="s">
        <v>404</v>
      </c>
      <c r="D48" s="181">
        <v>28</v>
      </c>
      <c r="E48" s="186" t="s">
        <v>450</v>
      </c>
      <c r="F48" s="189"/>
      <c r="G48" s="185"/>
      <c r="H48" s="185" t="s">
        <v>451</v>
      </c>
      <c r="I48" s="202" t="s">
        <v>412</v>
      </c>
      <c r="J48" s="189" t="s">
        <v>413</v>
      </c>
      <c r="K48" s="203" t="s">
        <v>414</v>
      </c>
      <c r="L48" s="189" t="s">
        <v>408</v>
      </c>
      <c r="M48" s="324"/>
    </row>
    <row r="49" spans="1:13" ht="25.5">
      <c r="A49" s="326"/>
      <c r="B49" s="339"/>
      <c r="C49" s="200" t="s">
        <v>404</v>
      </c>
      <c r="D49" s="181">
        <v>29</v>
      </c>
      <c r="E49" s="186" t="s">
        <v>452</v>
      </c>
      <c r="F49" s="189"/>
      <c r="G49" s="185"/>
      <c r="H49" s="185" t="s">
        <v>453</v>
      </c>
      <c r="I49" s="202" t="s">
        <v>412</v>
      </c>
      <c r="J49" s="189" t="s">
        <v>413</v>
      </c>
      <c r="K49" s="203" t="s">
        <v>414</v>
      </c>
      <c r="L49" s="189" t="s">
        <v>408</v>
      </c>
      <c r="M49" s="324"/>
    </row>
    <row r="50" spans="1:13" ht="25.5">
      <c r="A50" s="326"/>
      <c r="B50" s="339"/>
      <c r="C50" s="200" t="s">
        <v>404</v>
      </c>
      <c r="D50" s="181">
        <v>30</v>
      </c>
      <c r="E50" s="186" t="s">
        <v>454</v>
      </c>
      <c r="F50" s="189"/>
      <c r="G50" s="185"/>
      <c r="H50" s="185" t="s">
        <v>451</v>
      </c>
      <c r="I50" s="202" t="s">
        <v>412</v>
      </c>
      <c r="J50" s="189" t="s">
        <v>413</v>
      </c>
      <c r="K50" s="203" t="s">
        <v>414</v>
      </c>
      <c r="L50" s="189" t="s">
        <v>408</v>
      </c>
      <c r="M50" s="324"/>
    </row>
    <row r="51" spans="1:13" ht="25.5">
      <c r="A51" s="326"/>
      <c r="B51" s="339"/>
      <c r="C51" s="200" t="s">
        <v>404</v>
      </c>
      <c r="D51" s="181">
        <v>31</v>
      </c>
      <c r="E51" s="186" t="s">
        <v>455</v>
      </c>
      <c r="F51" s="189"/>
      <c r="G51" s="185"/>
      <c r="H51" s="185" t="s">
        <v>449</v>
      </c>
      <c r="I51" s="202" t="s">
        <v>412</v>
      </c>
      <c r="J51" s="189" t="s">
        <v>413</v>
      </c>
      <c r="K51" s="203" t="s">
        <v>414</v>
      </c>
      <c r="L51" s="189" t="s">
        <v>408</v>
      </c>
      <c r="M51" s="324"/>
    </row>
    <row r="52" spans="1:13" ht="25.5">
      <c r="A52" s="326"/>
      <c r="B52" s="339"/>
      <c r="C52" s="200" t="s">
        <v>404</v>
      </c>
      <c r="D52" s="181">
        <v>32</v>
      </c>
      <c r="E52" s="186" t="s">
        <v>456</v>
      </c>
      <c r="F52" s="189"/>
      <c r="G52" s="185"/>
      <c r="H52" s="185" t="s">
        <v>457</v>
      </c>
      <c r="I52" s="202" t="s">
        <v>412</v>
      </c>
      <c r="J52" s="189" t="s">
        <v>413</v>
      </c>
      <c r="K52" s="203" t="s">
        <v>414</v>
      </c>
      <c r="L52" s="189" t="s">
        <v>408</v>
      </c>
      <c r="M52" s="324"/>
    </row>
    <row r="53" spans="1:13" ht="25.5">
      <c r="A53" s="338"/>
      <c r="B53" s="337"/>
      <c r="C53" s="200" t="s">
        <v>404</v>
      </c>
      <c r="D53" s="181">
        <v>33</v>
      </c>
      <c r="E53" s="186" t="s">
        <v>458</v>
      </c>
      <c r="F53" s="189"/>
      <c r="G53" s="185"/>
      <c r="H53" s="185" t="s">
        <v>459</v>
      </c>
      <c r="I53" s="202" t="s">
        <v>412</v>
      </c>
      <c r="J53" s="189" t="s">
        <v>413</v>
      </c>
      <c r="K53" s="203" t="s">
        <v>414</v>
      </c>
      <c r="L53" s="189" t="s">
        <v>408</v>
      </c>
      <c r="M53" s="323"/>
    </row>
    <row r="55" spans="1:13" ht="38.25">
      <c r="A55" s="325" t="s">
        <v>336</v>
      </c>
      <c r="B55" s="328" t="s">
        <v>460</v>
      </c>
      <c r="C55" s="204" t="s">
        <v>461</v>
      </c>
      <c r="D55" s="181">
        <v>1</v>
      </c>
      <c r="E55" s="199" t="s">
        <v>338</v>
      </c>
      <c r="F55" s="201"/>
      <c r="G55" s="185"/>
      <c r="H55" s="186" t="s">
        <v>462</v>
      </c>
      <c r="I55" s="322" t="s">
        <v>463</v>
      </c>
      <c r="J55" s="332">
        <v>1</v>
      </c>
      <c r="K55" s="333"/>
      <c r="L55" s="334" t="s">
        <v>464</v>
      </c>
      <c r="M55" s="322" t="s">
        <v>465</v>
      </c>
    </row>
    <row r="56" spans="1:13" ht="25.5">
      <c r="A56" s="326"/>
      <c r="B56" s="329"/>
      <c r="C56" s="204" t="s">
        <v>461</v>
      </c>
      <c r="D56" s="181">
        <v>2</v>
      </c>
      <c r="E56" s="199" t="s">
        <v>343</v>
      </c>
      <c r="F56" s="199"/>
      <c r="G56" s="192"/>
      <c r="H56" s="203"/>
      <c r="I56" s="324"/>
      <c r="J56" s="324"/>
      <c r="K56" s="329"/>
      <c r="L56" s="335"/>
      <c r="M56" s="324"/>
    </row>
    <row r="57" spans="1:13" ht="63.75">
      <c r="A57" s="327"/>
      <c r="B57" s="330"/>
      <c r="C57" s="200" t="s">
        <v>466</v>
      </c>
      <c r="D57" s="181">
        <v>3</v>
      </c>
      <c r="E57" s="199"/>
      <c r="F57" s="205" t="s">
        <v>345</v>
      </c>
      <c r="G57" s="192"/>
      <c r="H57" s="192" t="s">
        <v>467</v>
      </c>
      <c r="I57" s="331"/>
      <c r="J57" s="331"/>
      <c r="K57" s="330"/>
      <c r="L57" s="336"/>
      <c r="M57" s="331"/>
    </row>
  </sheetData>
  <mergeCells count="60">
    <mergeCell ref="L2:L4"/>
    <mergeCell ref="M2:M4"/>
    <mergeCell ref="A6:A7"/>
    <mergeCell ref="C6:C7"/>
    <mergeCell ref="H6:H7"/>
    <mergeCell ref="M6:M7"/>
    <mergeCell ref="A2:A4"/>
    <mergeCell ref="B2:B3"/>
    <mergeCell ref="C2:C3"/>
    <mergeCell ref="H2:H3"/>
    <mergeCell ref="I2:I3"/>
    <mergeCell ref="J2:J3"/>
    <mergeCell ref="J9:J10"/>
    <mergeCell ref="K9:K10"/>
    <mergeCell ref="L9:L10"/>
    <mergeCell ref="M9:M16"/>
    <mergeCell ref="B11:B16"/>
    <mergeCell ref="C11:C12"/>
    <mergeCell ref="I11:I12"/>
    <mergeCell ref="J11:J12"/>
    <mergeCell ref="K11:K12"/>
    <mergeCell ref="L11:L12"/>
    <mergeCell ref="B9:B10"/>
    <mergeCell ref="C9:C10"/>
    <mergeCell ref="F9:F10"/>
    <mergeCell ref="H9:H10"/>
    <mergeCell ref="I9:I10"/>
    <mergeCell ref="C13:C16"/>
    <mergeCell ref="J13:J16"/>
    <mergeCell ref="K13:K16"/>
    <mergeCell ref="L13:L16"/>
    <mergeCell ref="A18:A19"/>
    <mergeCell ref="B18:B19"/>
    <mergeCell ref="C18:C19"/>
    <mergeCell ref="H18:H19"/>
    <mergeCell ref="I18:I19"/>
    <mergeCell ref="J18:J19"/>
    <mergeCell ref="K18:K19"/>
    <mergeCell ref="A9:A16"/>
    <mergeCell ref="H13:H16"/>
    <mergeCell ref="I13:I16"/>
    <mergeCell ref="L18:L19"/>
    <mergeCell ref="M18:M19"/>
    <mergeCell ref="A21:A53"/>
    <mergeCell ref="B21:B53"/>
    <mergeCell ref="C21:C22"/>
    <mergeCell ref="H21:H22"/>
    <mergeCell ref="I21:I22"/>
    <mergeCell ref="J21:J22"/>
    <mergeCell ref="K21:K22"/>
    <mergeCell ref="L21:L22"/>
    <mergeCell ref="M21:M22"/>
    <mergeCell ref="M23:M53"/>
    <mergeCell ref="A55:A57"/>
    <mergeCell ref="B55:B57"/>
    <mergeCell ref="I55:I57"/>
    <mergeCell ref="J55:J57"/>
    <mergeCell ref="K55:K57"/>
    <mergeCell ref="L55:L57"/>
    <mergeCell ref="M55:M5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ReferenceNumber xmlns="http://schemas.microsoft.com/sharepoint/v3" xsi:nil="true"/>
    <PublishTo xmlns="http://schemas.microsoft.com/sharepoint/v3" xsi:nil="true"/>
    <ValidFrom xmlns="http://schemas.microsoft.com/sharepoint/v3">2009-09-10T13:08:31+00:00</ValidFrom>
    <Owner xmlns="http://schemas.microsoft.com/sharepoint/v3">Corporate Standards</Owner>
    <DocumentInformationType xmlns="http://schemas.microsoft.com/sharepoint/v3">
      <Value>Forms</Value>
    </DocumentInformationType>
    <CWPID xmlns="http://schemas.microsoft.com/sharepoint/v3">8d47ccd6-4df8-40d2-a2cf-8983e11c3c06</CWPID>
    <DocumentLanguage xmlns="http://schemas.microsoft.com/sharepoint/v3">English</DocumentLanguage>
    <LinkDisplayText xmlns="http://schemas.microsoft.com/sharepoint/v3" xsi:nil="true"/>
    <TargetApplication xmlns="http://schemas.microsoft.com/sharepoint/v3">
      <Value>Internet/Public</Value>
    </TargetApplication>
    <Classification xmlns="http://schemas.microsoft.com/sharepoint/v3">Internal</Classification>
    <AllowOverwriteProperties xmlns="http://schemas.microsoft.com/sharepoint/v3">false</AllowOverwriteProperties>
    <PublishFrom xmlns="http://schemas.microsoft.com/sharepoint/v3">2009-05-19T22:00:00+00:00</PublishFrom>
    <ValidTo xmlns="http://schemas.microsoft.com/sharepoint/v3">2049-12-31T23:00:00+00:00</ValidTo>
    <Description xmlns="http://schemas.microsoft.com/sharepoint/v3" xsi:nil="true"/>
    <AttachedToPages xmlns="http://schemas.microsoft.com/sharepoint/v3" xsi:nil="true"/>
    <REXKWANDOBADCWPIDFIELD02c81594-1387-450f-910d-fc2c8da796f7 xmlns="http://schemas.microsoft.com/sharepoint/v3" xsi:nil="true"/>
  </documentManagement>
</p:properties>
</file>

<file path=customXml/item3.xml><?xml version="1.0" encoding="utf-8"?>
<LongProperties xmlns="http://schemas.microsoft.com/office/2006/metadata/longProperties"/>
</file>

<file path=customXml/item4.xml><?xml version="1.0" encoding="utf-8"?>
<ct:contentTypeSchema xmlns:ct="http://schemas.microsoft.com/office/2006/metadata/contentType" xmlns:ma="http://schemas.microsoft.com/office/2006/metadata/properties/metaAttributes" ct:_="" ma:_="" ma:contentTypeName="VolvoCom Document" ma:contentTypeID="0x010100F5D22A0F54644B60B76DBD3C406B0C4300A5C1C58596AC4B6ABDE976EEF6C47E4100BDEA7CC82A68AF43AC4048C5551883BB" ma:contentTypeVersion="5" ma:contentTypeDescription="Content type for documents in VolvoCom" ma:contentTypeScope="" ma:versionID="8e385723940efc1ef433dc51212d0373">
  <xsd:schema xmlns:xsd="http://www.w3.org/2001/XMLSchema" xmlns:p="http://schemas.microsoft.com/office/2006/metadata/properties" xmlns:ns1="http://schemas.microsoft.com/sharepoint/v3" targetNamespace="http://schemas.microsoft.com/office/2006/metadata/properties" ma:root="true" ma:fieldsID="fc8f8439851e38b2e033cf9e2ae30bc8" ns1:_="">
    <xsd:import namespace="http://schemas.microsoft.com/sharepoint/v3"/>
    <xsd:element name="properties">
      <xsd:complexType>
        <xsd:sequence>
          <xsd:element name="documentManagement">
            <xsd:complexType>
              <xsd:all>
                <xsd:element ref="ns1:LinkDisplayText" minOccurs="0"/>
                <xsd:element ref="ns1:Description" minOccurs="0"/>
                <xsd:element ref="ns1:DocumentLanguage"/>
                <xsd:element ref="ns1:Classification"/>
                <xsd:element ref="ns1:ReferenceNumber" minOccurs="0"/>
                <xsd:element ref="ns1:PublishFrom"/>
                <xsd:element ref="ns1:PublishTo" minOccurs="0"/>
                <xsd:element ref="ns1:ValidFrom"/>
                <xsd:element ref="ns1:ValidTo" minOccurs="0"/>
                <xsd:element ref="ns1:AllowOverwriteProperties" minOccurs="0"/>
                <xsd:element ref="ns1:AttachedToPages" minOccurs="0"/>
                <xsd:element ref="ns1:TargetApplication" minOccurs="0"/>
                <xsd:element ref="ns1:Owner"/>
                <xsd:element ref="ns1:DocumentInformationType" minOccurs="0"/>
                <xsd:element ref="ns1:CWPID" minOccurs="0"/>
                <xsd:element ref="ns1:REXKWANDOBADCWPIDFIELD02c81594-1387-450f-910d-fc2c8da796f7"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LinkDisplayText" ma:index="8" nillable="true" ma:displayName="Link Display Text" ma:description="Text to display as link" ma:internalName="LinkDisplayText">
      <xsd:simpleType>
        <xsd:restriction base="dms:Text"/>
      </xsd:simpleType>
    </xsd:element>
    <xsd:element name="Description" ma:index="9" nillable="true" ma:displayName="Description" ma:description="Description" ma:internalName="Description">
      <xsd:simpleType>
        <xsd:restriction base="dms:Note"/>
      </xsd:simpleType>
    </xsd:element>
    <xsd:element name="DocumentLanguage" ma:index="10" ma:displayName="DocumentLanguage" ma:default="English" ma:description="Language of the document" ma:internalName="DocumentLanguage">
      <xsd:simpleType>
        <xsd:restriction base="dms:Choice">
          <xsd:enumeration value="Arabic"/>
          <xsd:enumeration value="Chinese"/>
          <xsd:enumeration value="Danish"/>
          <xsd:enumeration value="Dutch"/>
          <xsd:enumeration value="English"/>
          <xsd:enumeration value="Farsi"/>
          <xsd:enumeration value="Finnish"/>
          <xsd:enumeration value="Flemish"/>
          <xsd:enumeration value="French"/>
          <xsd:enumeration value="German"/>
          <xsd:enumeration value="Italian"/>
          <xsd:enumeration value="Japanese"/>
          <xsd:enumeration value="Korean"/>
          <xsd:enumeration value="Norwegian"/>
          <xsd:enumeration value="Polish"/>
          <xsd:enumeration value="Portuguese"/>
          <xsd:enumeration value="Russian"/>
          <xsd:enumeration value="Spanish"/>
          <xsd:enumeration value="Swedish"/>
          <xsd:enumeration value="Turkish"/>
        </xsd:restriction>
      </xsd:simpleType>
    </xsd:element>
    <xsd:element name="Classification" ma:index="11" ma:displayName="Classification" ma:default="Internal" ma:description="Classification of the document" ma:internalName="Classification">
      <xsd:simpleType>
        <xsd:restriction base="dms:Choice">
          <xsd:enumeration value="Internal"/>
          <xsd:enumeration value="Open"/>
        </xsd:restriction>
      </xsd:simpleType>
    </xsd:element>
    <xsd:element name="ReferenceNumber" ma:index="12" nillable="true" ma:displayName="ReferenceNumber" ma:description="Document reference number" ma:internalName="ReferenceNumber">
      <xsd:simpleType>
        <xsd:restriction base="dms:Text"/>
      </xsd:simpleType>
    </xsd:element>
    <xsd:element name="PublishFrom" ma:index="13" ma:displayName="PublishFrom" ma:default="[today]" ma:description="Date to begin publishing" ma:internalName="PublishFrom">
      <xsd:simpleType>
        <xsd:restriction base="dms:DateTime"/>
      </xsd:simpleType>
    </xsd:element>
    <xsd:element name="PublishTo" ma:index="14" nillable="true" ma:displayName="PublishTo" ma:description="Date to end publishing" ma:internalName="PublishTo">
      <xsd:simpleType>
        <xsd:restriction base="dms:DateTime"/>
      </xsd:simpleType>
    </xsd:element>
    <xsd:element name="ValidFrom" ma:index="15" ma:displayName="ValidFrom" ma:default="[today]" ma:description="Date after which the document is valid" ma:internalName="ValidFrom">
      <xsd:simpleType>
        <xsd:restriction base="dms:DateTime"/>
      </xsd:simpleType>
    </xsd:element>
    <xsd:element name="ValidTo" ma:index="16" nillable="true" ma:displayName="ValidTo" ma:description="Date until which the document is valid" ma:internalName="ValidTo">
      <xsd:simpleType>
        <xsd:restriction base="dms:DateTime"/>
      </xsd:simpleType>
    </xsd:element>
    <xsd:element name="AllowOverwriteProperties" ma:index="17" nillable="true" ma:displayName="AllowOverwriteProperties" ma:description="Replace previously saved properties with these new properties." ma:internalName="AllowOverwriteProperties">
      <xsd:simpleType>
        <xsd:restriction base="dms:Boolean"/>
      </xsd:simpleType>
    </xsd:element>
    <xsd:element name="AttachedToPages" ma:index="18" nillable="true" ma:displayName="AttachedToPages" ma:description="Pages to which the document is attached" ma:hidden="true" ma:internalName="AttachedToPages">
      <xsd:simpleType>
        <xsd:restriction base="dms:Unknown"/>
      </xsd:simpleType>
    </xsd:element>
    <xsd:element name="TargetApplication" ma:index="19" nillable="true" ma:displayName="Target Application" ma:default="Internet/Public" ma:description="Select if you wish to associate a document with a page in the application of choice" ma:internalName="TargetApplication" ma:requiredMultiChoice="true">
      <xsd:complexType>
        <xsd:complexContent>
          <xsd:extension base="dms:MultiChoice">
            <xsd:sequence>
              <xsd:element name="Value" maxOccurs="unbounded" minOccurs="0" nillable="true">
                <xsd:simpleType>
                  <xsd:restriction base="dms:Choice">
                    <xsd:enumeration value="Intranet/Violin"/>
                    <xsd:enumeration value="Extended Intranet"/>
                    <xsd:enumeration value="Extranet"/>
                    <xsd:enumeration value="Internet/Public"/>
                  </xsd:restriction>
                </xsd:simpleType>
              </xsd:element>
            </xsd:sequence>
          </xsd:extension>
        </xsd:complexContent>
      </xsd:complexType>
    </xsd:element>
    <xsd:element name="Owner" ma:index="20" ma:displayName="Owner" ma:description="Owner of document" ma:internalName="Owner">
      <xsd:simpleType>
        <xsd:restriction base="dms:Text"/>
      </xsd:simpleType>
    </xsd:element>
    <xsd:element name="DocumentInformationType" ma:index="21" nillable="true" ma:displayName="DocumentInformationType" ma:description="The information type of the document" ma:internalName="DocumentInformationType" ma:requiredMultiChoice="true">
      <xsd:complexType>
        <xsd:complexContent>
          <xsd:extension base="dms:MultiChoice">
            <xsd:sequence>
              <xsd:element name="Value" maxOccurs="unbounded" minOccurs="0" nillable="true">
                <xsd:simpleType>
                  <xsd:restriction base="dms:Choice">
                    <xsd:enumeration value="Applications &amp; tools"/>
                    <xsd:enumeration value="Company presentations &amp; support materials"/>
                    <xsd:enumeration value="Events"/>
                    <xsd:enumeration value="Forms"/>
                    <xsd:enumeration value="Images, maps &amp; charts"/>
                    <xsd:enumeration value="Legal"/>
                    <xsd:enumeration value="Manuals &amp; Instructions"/>
                    <xsd:enumeration value="Minutes"/>
                    <xsd:enumeration value="News &amp; announcements"/>
                    <xsd:enumeration value="Other"/>
                    <xsd:enumeration value="Policies &amp; guidelines"/>
                    <xsd:enumeration value="Publications &amp; forums"/>
                    <xsd:enumeration value="Reports"/>
                    <xsd:enumeration value="Standards &amp; Patents"/>
                    <xsd:enumeration value="Templates"/>
                    <xsd:enumeration value="Training"/>
                    <xsd:enumeration value="Travel &amp; Expense"/>
                    <xsd:enumeration value="Video/audio"/>
                  </xsd:restriction>
                </xsd:simpleType>
              </xsd:element>
            </xsd:sequence>
          </xsd:extension>
        </xsd:complexContent>
      </xsd:complexType>
    </xsd:element>
    <xsd:element name="CWPID" ma:index="22" nillable="true" ma:displayName="CWPID" ma:description="Unique ID used by CWP to query. Please leave this field unmodified!" ma:internalName="CWPID">
      <xsd:simpleType>
        <xsd:restriction base="dms:Text"/>
      </xsd:simpleType>
    </xsd:element>
    <xsd:element name="REXKWANDOBADCWPIDFIELD02c81594-1387-450f-910d-fc2c8da796f7" ma:index="23" nillable="true" ma:displayName="REXKWANDOBADCWPIDFIELD02c81594-1387-450f-910d-fc2c8da796f7" ma:description="OLD CWPID FIELD DO NOT USE" ma:internalName="REXKWANDOBADCWPIDFIELD02c81594_x002d_1387_x002d_450f_x002d_910d_x002d_fc2c8da796f7">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B8458A09-9603-4A24-B245-168AB47B3AB8}">
  <ds:schemaRefs>
    <ds:schemaRef ds:uri="http://schemas.microsoft.com/sharepoint/v3/contenttype/forms"/>
  </ds:schemaRefs>
</ds:datastoreItem>
</file>

<file path=customXml/itemProps2.xml><?xml version="1.0" encoding="utf-8"?>
<ds:datastoreItem xmlns:ds="http://schemas.openxmlformats.org/officeDocument/2006/customXml" ds:itemID="{64FCDFE2-E1F2-4F1F-915C-9649CBAC59A8}">
  <ds:schemaRefs>
    <ds:schemaRef ds:uri="http://schemas.microsoft.com/office/2006/metadata/properties"/>
    <ds:schemaRef ds:uri="http://schemas.microsoft.com/sharepoint/v3"/>
    <ds:schemaRef ds:uri="http://purl.org/dc/terms/"/>
    <ds:schemaRef ds:uri="http://schemas.openxmlformats.org/package/2006/metadata/core-properties"/>
    <ds:schemaRef ds:uri="http://schemas.microsoft.com/office/2006/documentManagement/types"/>
    <ds:schemaRef ds:uri="http://purl.org/dc/elements/1.1/"/>
    <ds:schemaRef ds:uri="http://www.w3.org/XML/1998/namespace"/>
    <ds:schemaRef ds:uri="http://purl.org/dc/dcmitype/"/>
    <ds:schemaRef ds:uri="http://schemas.microsoft.com/office/infopath/2007/PartnerControls"/>
  </ds:schemaRefs>
</ds:datastoreItem>
</file>

<file path=customXml/itemProps3.xml><?xml version="1.0" encoding="utf-8"?>
<ds:datastoreItem xmlns:ds="http://schemas.openxmlformats.org/officeDocument/2006/customXml" ds:itemID="{8923ED42-F875-4632-8ABE-5B76D5B19158}">
  <ds:schemaRefs>
    <ds:schemaRef ds:uri="http://schemas.microsoft.com/office/2006/metadata/longProperties"/>
  </ds:schemaRefs>
</ds:datastoreItem>
</file>

<file path=customXml/itemProps4.xml><?xml version="1.0" encoding="utf-8"?>
<ds:datastoreItem xmlns:ds="http://schemas.openxmlformats.org/officeDocument/2006/customXml" ds:itemID="{7B3E293E-0F5B-4E51-98C7-3DFB05DEA3D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Delovni listi</vt:lpstr>
      </vt:variant>
      <vt:variant>
        <vt:i4>10</vt:i4>
      </vt:variant>
      <vt:variant>
        <vt:lpstr>Imenovani obsegi</vt:lpstr>
      </vt:variant>
      <vt:variant>
        <vt:i4>14</vt:i4>
      </vt:variant>
    </vt:vector>
  </HeadingPairs>
  <TitlesOfParts>
    <vt:vector size="24" baseType="lpstr">
      <vt:lpstr>Articles</vt:lpstr>
      <vt:lpstr>PFC</vt:lpstr>
      <vt:lpstr>PFC_tabele</vt:lpstr>
      <vt:lpstr>Prepare FMEA</vt:lpstr>
      <vt:lpstr>FMEA_tabele</vt:lpstr>
      <vt:lpstr>FMEA</vt:lpstr>
      <vt:lpstr>Data-Drawings-Pictures</vt:lpstr>
      <vt:lpstr>Histogram</vt:lpstr>
      <vt:lpstr>QP</vt:lpstr>
      <vt:lpstr>QP_tabele</vt:lpstr>
      <vt:lpstr>_RPN1</vt:lpstr>
      <vt:lpstr>_RPN2</vt:lpstr>
      <vt:lpstr>_sev1</vt:lpstr>
      <vt:lpstr>_sev2</vt:lpstr>
      <vt:lpstr>Complete</vt:lpstr>
      <vt:lpstr>evaluation</vt:lpstr>
      <vt:lpstr>Histogram_data</vt:lpstr>
      <vt:lpstr>inputdata</vt:lpstr>
      <vt:lpstr>Nr__No</vt:lpstr>
      <vt:lpstr>FMEA!Področje_tiskanja</vt:lpstr>
      <vt:lpstr>Histogram!Področje_tiskanja</vt:lpstr>
      <vt:lpstr>Pogoji</vt:lpstr>
      <vt:lpstr>FMEA!Tiskanje_naslovov</vt:lpstr>
      <vt:lpstr>TopFMEA</vt:lpstr>
    </vt:vector>
  </TitlesOfParts>
  <Company>Volvo Lastvagnar AB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FMEA TEMPLATE</dc:title>
  <dc:subject>Failure mode and effect analysis</dc:subject>
  <dc:creator>Ragnar Drake</dc:creator>
  <cp:lastModifiedBy>JanezPC</cp:lastModifiedBy>
  <cp:lastPrinted>2017-05-19T08:11:07Z</cp:lastPrinted>
  <dcterms:created xsi:type="dcterms:W3CDTF">1998-03-24T07:03:35Z</dcterms:created>
  <dcterms:modified xsi:type="dcterms:W3CDTF">2017-10-20T10:03:54Z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PSDescription">
    <vt:lpwstr/>
  </property>
  <property fmtid="{D5CDD505-2E9C-101B-9397-08002B2CF9AE}" pid="3" name="VolvoComInformationType">
    <vt:lpwstr>Forms</vt:lpwstr>
  </property>
  <property fmtid="{D5CDD505-2E9C-101B-9397-08002B2CF9AE}" pid="4" name="VolvoComPublishFrom">
    <vt:lpwstr>2009-05-20T00:00:00Z</vt:lpwstr>
  </property>
  <property fmtid="{D5CDD505-2E9C-101B-9397-08002B2CF9AE}" pid="5" name="VolvoComLinkText">
    <vt:lpwstr/>
  </property>
  <property fmtid="{D5CDD505-2E9C-101B-9397-08002B2CF9AE}" pid="6" name="VolvoComValidTo">
    <vt:lpwstr/>
  </property>
  <property fmtid="{D5CDD505-2E9C-101B-9397-08002B2CF9AE}" pid="7" name="OverWriteProperties">
    <vt:lpwstr>1</vt:lpwstr>
  </property>
  <property fmtid="{D5CDD505-2E9C-101B-9397-08002B2CF9AE}" pid="8" name="Violin Publish From">
    <vt:lpwstr>2009-05-20T00:00:00Z</vt:lpwstr>
  </property>
  <property fmtid="{D5CDD505-2E9C-101B-9397-08002B2CF9AE}" pid="9" name="VolvoComDocumentLanguage">
    <vt:lpwstr>English</vt:lpwstr>
  </property>
  <property fmtid="{D5CDD505-2E9C-101B-9397-08002B2CF9AE}" pid="10" name="VolvoComPublishTo">
    <vt:lpwstr/>
  </property>
  <property fmtid="{D5CDD505-2E9C-101B-9397-08002B2CF9AE}" pid="11" name="VolvoComValidFrom">
    <vt:lpwstr>2009-05-20T00:00:00Z</vt:lpwstr>
  </property>
  <property fmtid="{D5CDD505-2E9C-101B-9397-08002B2CF9AE}" pid="12" name="LastModifiedUser">
    <vt:lpwstr/>
  </property>
  <property fmtid="{D5CDD505-2E9C-101B-9397-08002B2CF9AE}" pid="13" name="VolvoComReferenceNumber">
    <vt:lpwstr/>
  </property>
  <property fmtid="{D5CDD505-2E9C-101B-9397-08002B2CF9AE}" pid="14" name="Violin Publish To">
    <vt:lpwstr/>
  </property>
  <property fmtid="{D5CDD505-2E9C-101B-9397-08002B2CF9AE}" pid="15" name="Subject">
    <vt:lpwstr>Failure mode and effect analysis</vt:lpwstr>
  </property>
  <property fmtid="{D5CDD505-2E9C-101B-9397-08002B2CF9AE}" pid="16" name="_Category">
    <vt:lpwstr/>
  </property>
  <property fmtid="{D5CDD505-2E9C-101B-9397-08002B2CF9AE}" pid="17" name="Categories">
    <vt:lpwstr/>
  </property>
  <property fmtid="{D5CDD505-2E9C-101B-9397-08002B2CF9AE}" pid="18" name="Approval Level">
    <vt:lpwstr/>
  </property>
  <property fmtid="{D5CDD505-2E9C-101B-9397-08002B2CF9AE}" pid="19" name="_Comments">
    <vt:lpwstr/>
  </property>
  <property fmtid="{D5CDD505-2E9C-101B-9397-08002B2CF9AE}" pid="20" name="Assigned To">
    <vt:lpwstr/>
  </property>
  <property fmtid="{D5CDD505-2E9C-101B-9397-08002B2CF9AE}" pid="21" name="Keywords">
    <vt:lpwstr/>
  </property>
  <property fmtid="{D5CDD505-2E9C-101B-9397-08002B2CF9AE}" pid="22" name="_Author">
    <vt:lpwstr>Ragnar Drake</vt:lpwstr>
  </property>
  <property fmtid="{D5CDD505-2E9C-101B-9397-08002B2CF9AE}" pid="23" name="_AdHocReviewCycleID">
    <vt:i4>-1662621268</vt:i4>
  </property>
  <property fmtid="{D5CDD505-2E9C-101B-9397-08002B2CF9AE}" pid="24" name="_NewReviewCycle">
    <vt:lpwstr/>
  </property>
  <property fmtid="{D5CDD505-2E9C-101B-9397-08002B2CF9AE}" pid="25" name="_EmailSubject">
    <vt:lpwstr>Predloge FMEA</vt:lpwstr>
  </property>
  <property fmtid="{D5CDD505-2E9C-101B-9397-08002B2CF9AE}" pid="26" name="_AuthorEmail">
    <vt:lpwstr>janez@hobotnica.com</vt:lpwstr>
  </property>
  <property fmtid="{D5CDD505-2E9C-101B-9397-08002B2CF9AE}" pid="27" name="_AuthorEmailDisplayName">
    <vt:lpwstr>Janez ŠPOLJAR</vt:lpwstr>
  </property>
  <property fmtid="{D5CDD505-2E9C-101B-9397-08002B2CF9AE}" pid="28" name="_ReviewingToolsShownOnce">
    <vt:lpwstr/>
  </property>
</Properties>
</file>